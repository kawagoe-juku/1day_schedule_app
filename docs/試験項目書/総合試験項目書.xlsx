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表紙" sheetId="1" state="visible" r:id="rId3"/>
    <sheet name="集計" sheetId="2" state="visible" r:id="rId4"/>
    <sheet name="試験項目" sheetId="3" state="visible" r:id="rId5"/>
    <sheet name="変更履歴" sheetId="4" state="visible" r:id="rId6"/>
  </sheets>
  <definedNames>
    <definedName function="false" hidden="false" localSheetId="2" name="_xlnm.Print_Titles" vbProcedure="false">試験項目!$1:$1</definedName>
    <definedName function="false" hidden="true" localSheetId="2" name="_xlnm._FilterDatabase" vbProcedure="false">試験項目!$A$1:$P$165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<sst xmlns="http://schemas.openxmlformats.org/spreadsheetml/2006/main" count="1762" uniqueCount="915">
  <si>
    <r>
      <rPr>
        <b val="true"/>
        <sz val="16"/>
        <color rgb="FF1F3864"/>
        <rFont val="Yu Gothic"/>
        <family val="0"/>
        <charset val="1"/>
      </rPr>
      <t xml:space="preserve">AI</t>
    </r>
    <r>
      <rPr>
        <b val="true"/>
        <sz val="16"/>
        <color rgb="FF1F3864"/>
        <rFont val="Noto Sans CJK SC"/>
        <family val="2"/>
      </rPr>
      <t xml:space="preserve">スケジュール外出支援サービス　総合試験項目書</t>
    </r>
  </si>
  <si>
    <t xml:space="preserve">システム名</t>
  </si>
  <si>
    <r>
      <rPr>
        <sz val="10"/>
        <color rgb="FF000000"/>
        <rFont val="Yu Gothic"/>
        <family val="0"/>
        <charset val="1"/>
      </rPr>
      <t xml:space="preserve">AI</t>
    </r>
    <r>
      <rPr>
        <sz val="10"/>
        <color rgb="FF000000"/>
        <rFont val="Noto Sans CJK SC"/>
        <family val="2"/>
      </rPr>
      <t xml:space="preserve">スケジュール外出支援サービス（</t>
    </r>
    <r>
      <rPr>
        <sz val="10"/>
        <color rgb="FF000000"/>
        <rFont val="Yu Gothic"/>
        <family val="0"/>
        <charset val="1"/>
      </rPr>
      <t xml:space="preserve">Web</t>
    </r>
    <r>
      <rPr>
        <sz val="10"/>
        <color rgb="FF000000"/>
        <rFont val="Noto Sans CJK SC"/>
        <family val="2"/>
      </rPr>
      <t xml:space="preserve">アプリ：</t>
    </r>
    <r>
      <rPr>
        <sz val="10"/>
        <color rgb="FF000000"/>
        <rFont val="Yu Gothic"/>
        <family val="0"/>
        <charset val="1"/>
      </rPr>
      <t xml:space="preserve">Windows</t>
    </r>
    <r>
      <rPr>
        <sz val="10"/>
        <color rgb="FF000000"/>
        <rFont val="Noto Sans CJK SC"/>
        <family val="2"/>
      </rPr>
      <t xml:space="preserve">上の</t>
    </r>
    <r>
      <rPr>
        <sz val="10"/>
        <color rgb="FF000000"/>
        <rFont val="Yu Gothic"/>
        <family val="0"/>
        <charset val="1"/>
      </rPr>
      <t xml:space="preserve">Edge</t>
    </r>
    <r>
      <rPr>
        <sz val="10"/>
        <color rgb="FF000000"/>
        <rFont val="Noto Sans CJK SC"/>
        <family val="2"/>
      </rPr>
      <t xml:space="preserve">／</t>
    </r>
    <r>
      <rPr>
        <sz val="10"/>
        <color rgb="FF000000"/>
        <rFont val="Yu Gothic"/>
        <family val="0"/>
        <charset val="1"/>
      </rPr>
      <t xml:space="preserve">Chrome</t>
    </r>
    <r>
      <rPr>
        <sz val="10"/>
        <color rgb="FF000000"/>
        <rFont val="Noto Sans CJK SC"/>
        <family val="2"/>
      </rPr>
      <t xml:space="preserve">）</t>
    </r>
  </si>
  <si>
    <t xml:space="preserve">文書名</t>
  </si>
  <si>
    <t xml:space="preserve">総合試験項目書</t>
  </si>
  <si>
    <t xml:space="preserve">版数</t>
  </si>
  <si>
    <t xml:space="preserve">1.2</t>
  </si>
  <si>
    <t xml:space="preserve">作成日</t>
  </si>
  <si>
    <r>
      <rPr>
        <sz val="10"/>
        <color rgb="FF000000"/>
        <rFont val="Yu Gothic"/>
        <family val="0"/>
        <charset val="1"/>
      </rPr>
      <t xml:space="preserve">2026</t>
    </r>
    <r>
      <rPr>
        <sz val="10"/>
        <color rgb="FF000000"/>
        <rFont val="Noto Sans CJK SC"/>
        <family val="2"/>
      </rPr>
      <t xml:space="preserve">年</t>
    </r>
    <r>
      <rPr>
        <sz val="10"/>
        <color rgb="FF000000"/>
        <rFont val="Yu Gothic"/>
        <family val="0"/>
        <charset val="1"/>
      </rPr>
      <t xml:space="preserve">10</t>
    </r>
    <r>
      <rPr>
        <sz val="10"/>
        <color rgb="FF000000"/>
        <rFont val="Noto Sans CJK SC"/>
        <family val="2"/>
      </rPr>
      <t xml:space="preserve">月</t>
    </r>
    <r>
      <rPr>
        <sz val="10"/>
        <color rgb="FF000000"/>
        <rFont val="Yu Gothic"/>
        <family val="0"/>
        <charset val="1"/>
      </rPr>
      <t xml:space="preserve">15</t>
    </r>
    <r>
      <rPr>
        <sz val="10"/>
        <color rgb="FF000000"/>
        <rFont val="Noto Sans CJK SC"/>
        <family val="2"/>
      </rPr>
      <t xml:space="preserve">日</t>
    </r>
  </si>
  <si>
    <t xml:space="preserve">作成者</t>
  </si>
  <si>
    <t xml:space="preserve">前田</t>
  </si>
  <si>
    <t xml:space="preserve">試験期間</t>
  </si>
  <si>
    <r>
      <rPr>
        <sz val="10"/>
        <color rgb="FF000000"/>
        <rFont val="Yu Gothic"/>
        <family val="0"/>
        <charset val="1"/>
      </rPr>
      <t xml:space="preserve">2027</t>
    </r>
    <r>
      <rPr>
        <sz val="10"/>
        <color rgb="FF000000"/>
        <rFont val="Noto Sans CJK SC"/>
        <family val="2"/>
      </rPr>
      <t xml:space="preserve">年</t>
    </r>
    <r>
      <rPr>
        <sz val="10"/>
        <color rgb="FF000000"/>
        <rFont val="Yu Gothic"/>
        <family val="0"/>
        <charset val="1"/>
      </rPr>
      <t xml:space="preserve">2</t>
    </r>
    <r>
      <rPr>
        <sz val="10"/>
        <color rgb="FF000000"/>
        <rFont val="Noto Sans CJK SC"/>
        <family val="2"/>
      </rPr>
      <t xml:space="preserve">月</t>
    </r>
    <r>
      <rPr>
        <sz val="10"/>
        <color rgb="FF000000"/>
        <rFont val="Yu Gothic"/>
        <family val="0"/>
        <charset val="1"/>
      </rPr>
      <t xml:space="preserve">1</t>
    </r>
    <r>
      <rPr>
        <sz val="10"/>
        <color rgb="FF000000"/>
        <rFont val="Noto Sans CJK SC"/>
        <family val="2"/>
      </rPr>
      <t xml:space="preserve">日（月）〜</t>
    </r>
    <r>
      <rPr>
        <sz val="10"/>
        <color rgb="FF000000"/>
        <rFont val="Yu Gothic"/>
        <family val="0"/>
        <charset val="1"/>
      </rPr>
      <t xml:space="preserve">2</t>
    </r>
    <r>
      <rPr>
        <sz val="10"/>
        <color rgb="FF000000"/>
        <rFont val="Noto Sans CJK SC"/>
        <family val="2"/>
      </rPr>
      <t xml:space="preserve">月</t>
    </r>
    <r>
      <rPr>
        <sz val="10"/>
        <color rgb="FF000000"/>
        <rFont val="Yu Gothic"/>
        <family val="0"/>
        <charset val="1"/>
      </rPr>
      <t xml:space="preserve">12</t>
    </r>
    <r>
      <rPr>
        <sz val="10"/>
        <color rgb="FF000000"/>
        <rFont val="Noto Sans CJK SC"/>
        <family val="2"/>
      </rPr>
      <t xml:space="preserve">日（金）予定</t>
    </r>
  </si>
  <si>
    <t xml:space="preserve">試験環境</t>
  </si>
  <si>
    <t xml:space="preserve">検証環境（stg、本番同等構成）。リリース判定の一部は本番環境で実施</t>
  </si>
  <si>
    <t xml:space="preserve">試験の目的</t>
  </si>
  <si>
    <t xml:space="preserve">・結合試験を完了したシステム全体を、本番同等の環境とWindows上のブラウザ（Edge／Chrome）で利用者の業務シナリオに沿って動かし、機能要件に加えて性能・可用性・セキュリティ・個人情報保護・運用・デプロイ等の非機能要件を満たし、リリース可能であることを確認する。</t>
  </si>
  <si>
    <t xml:space="preserve">試験対象</t>
  </si>
  <si>
    <t xml:space="preserve">・利用者の業務シナリオ（想定入力パターン3種を含むエンドツーエンド）とAI計画品質</t>
  </si>
  <si>
    <t xml:space="preserve">・ブラウザ互換（Windows＋Edge／Chrome最新版、画面幅）</t>
  </si>
  <si>
    <t xml:space="preserve">・性能（要件定義書3.2.1の目安値）、可用性・障害時動作</t>
  </si>
  <si>
    <t xml:space="preserve">・セキュリティ、個人情報保護</t>
  </si>
  <si>
    <t xml:space="preserve">・運用・保守（バックアップ／リストア、ログ保持、監視アラーム）、デプロイ・環境、リリース判定</t>
  </si>
  <si>
    <t xml:space="preserve">対象外</t>
  </si>
  <si>
    <t xml:space="preserve">・音声入力・出発アラート・延期再計画・運行監視の本体処理（本リリースは準備のみ）
・iOS／Androidアプリ、出発検知（ジオフェンス）、プッシュ通知、オフライン同期（Web版のため範囲外、2026-10決定）</t>
  </si>
  <si>
    <t xml:space="preserve">・Apple Calendar連携、データエクスポート、バス・タクシー、多言語（要件上スコープ外）</t>
  </si>
  <si>
    <t xml:space="preserve">開始条件</t>
  </si>
  <si>
    <t xml:space="preserve">・結合試験が完了基準を満たしていること</t>
  </si>
  <si>
    <t xml:space="preserve">・検証環境が本番同等構成（Multi-AZ）で稼働し、監視・バックアップが有効であること</t>
  </si>
  <si>
    <t xml:space="preserve">・試験用のWindows端末（Edge・Chrome最新版）が用意されていること</t>
  </si>
  <si>
    <t xml:space="preserve">完了条件</t>
  </si>
  <si>
    <t xml:space="preserve">・優先度「高」の全項目が結果OKであること</t>
  </si>
  <si>
    <t xml:space="preserve">・性能項目が目安値を満たす、または差異の理由と対応方針が合意されていること</t>
  </si>
  <si>
    <t xml:space="preserve">・重大度の高い未解決不具合がないこと</t>
  </si>
  <si>
    <t xml:space="preserve">・リリース判定項目がすべてOKであること</t>
  </si>
  <si>
    <t xml:space="preserve">参照資料</t>
  </si>
  <si>
    <t xml:space="preserve">・要件定義書</t>
  </si>
  <si>
    <t xml:space="preserve">・AI_schedule_app-見積もり（見積書）</t>
  </si>
  <si>
    <t xml:space="preserve">・DB定義書／エンティティ定義</t>
  </si>
  <si>
    <t xml:space="preserve">・紙芝居HTML（HTML_0831）</t>
  </si>
  <si>
    <t xml:space="preserve">・実装WBS（2026年10月19日〜12月25日）</t>
  </si>
  <si>
    <t xml:space="preserve">記入方法</t>
  </si>
  <si>
    <t xml:space="preserve">黄色の列</t>
  </si>
  <si>
    <t xml:space="preserve">実施日・実施者・結果・不具合No・備考の5列が記入欄です。それ以外の列は編集しないでください。</t>
  </si>
  <si>
    <t xml:space="preserve">結果</t>
  </si>
  <si>
    <r>
      <rPr>
        <sz val="10"/>
        <color rgb="FF000000"/>
        <rFont val="Yu Gothic"/>
        <family val="0"/>
        <charset val="1"/>
      </rPr>
      <t xml:space="preserve">OK</t>
    </r>
    <r>
      <rPr>
        <sz val="10"/>
        <color rgb="FF000000"/>
        <rFont val="Noto Sans CJK SC"/>
        <family val="2"/>
      </rPr>
      <t xml:space="preserve">／</t>
    </r>
    <r>
      <rPr>
        <sz val="10"/>
        <color rgb="FF000000"/>
        <rFont val="Yu Gothic"/>
        <family val="0"/>
        <charset val="1"/>
      </rPr>
      <t xml:space="preserve">NG</t>
    </r>
    <r>
      <rPr>
        <sz val="10"/>
        <color rgb="FF000000"/>
        <rFont val="Noto Sans CJK SC"/>
        <family val="2"/>
      </rPr>
      <t xml:space="preserve">／保留／対象外 からプルダウンで選択します。空欄は未実施として集計されます。</t>
    </r>
  </si>
  <si>
    <r>
      <rPr>
        <b val="true"/>
        <sz val="10"/>
        <color rgb="FF000000"/>
        <rFont val="Yu Gothic"/>
        <family val="0"/>
        <charset val="1"/>
      </rPr>
      <t xml:space="preserve">NG</t>
    </r>
    <r>
      <rPr>
        <b val="true"/>
        <sz val="10"/>
        <color rgb="FF000000"/>
        <rFont val="Noto Sans CJK SC"/>
        <family val="2"/>
      </rPr>
      <t xml:space="preserve">のとき</t>
    </r>
  </si>
  <si>
    <t xml:space="preserve">不具合管理表の番号を「不具合No」に記入し、修正後の再試験は備考に日付と結果を追記します。</t>
  </si>
  <si>
    <t xml:space="preserve">対象PF</t>
  </si>
  <si>
    <t xml:space="preserve">Web＝Windows上のEdge・Chrome最新版で実施。サーバ＝画面を介さずAPI・AWS側で確認。</t>
  </si>
  <si>
    <t xml:space="preserve">優先度</t>
  </si>
  <si>
    <t xml:space="preserve">高＝リリース必須、中＝原則実施、低＝時間が許す範囲で実施（未実施時は理由を備考へ）。</t>
  </si>
  <si>
    <t xml:space="preserve">集計</t>
  </si>
  <si>
    <t xml:space="preserve">「集計」シートは結果列から自動計算されます。</t>
  </si>
  <si>
    <t xml:space="preserve">総合試験項目書 集計</t>
  </si>
  <si>
    <t xml:space="preserve">大分類</t>
  </si>
  <si>
    <t xml:space="preserve">項目数</t>
  </si>
  <si>
    <t xml:space="preserve">OK</t>
  </si>
  <si>
    <t xml:space="preserve">NG</t>
  </si>
  <si>
    <t xml:space="preserve">保留</t>
  </si>
  <si>
    <t xml:space="preserve">未実施</t>
  </si>
  <si>
    <t xml:space="preserve">消化率</t>
  </si>
  <si>
    <t xml:space="preserve">合格率</t>
  </si>
  <si>
    <t xml:space="preserve">業務シナリオ</t>
  </si>
  <si>
    <t xml:space="preserve">プラットフォーム互換</t>
  </si>
  <si>
    <t xml:space="preserve">性能</t>
  </si>
  <si>
    <t xml:space="preserve">可用性・障害</t>
  </si>
  <si>
    <t xml:space="preserve">セキュリティ</t>
  </si>
  <si>
    <t xml:space="preserve">個人情報保護</t>
  </si>
  <si>
    <t xml:space="preserve">運用・保守</t>
  </si>
  <si>
    <t xml:space="preserve">デプロイ・環境</t>
  </si>
  <si>
    <t xml:space="preserve">ユーザビリティ</t>
  </si>
  <si>
    <t xml:space="preserve">データ整合</t>
  </si>
  <si>
    <t xml:space="preserve">リリース判定</t>
  </si>
  <si>
    <r>
      <rPr>
        <sz val="10"/>
        <color rgb="FF000000"/>
        <rFont val="Yu Gothic"/>
        <family val="0"/>
        <charset val="1"/>
      </rPr>
      <t xml:space="preserve">AI</t>
    </r>
    <r>
      <rPr>
        <sz val="10"/>
        <color rgb="FF000000"/>
        <rFont val="Noto Sans CJK SC"/>
        <family val="2"/>
      </rPr>
      <t xml:space="preserve">計画品質</t>
    </r>
  </si>
  <si>
    <t xml:space="preserve">合計</t>
  </si>
  <si>
    <t xml:space="preserve">高</t>
  </si>
  <si>
    <t xml:space="preserve">中</t>
  </si>
  <si>
    <t xml:space="preserve">低</t>
  </si>
  <si>
    <t xml:space="preserve">消化率＝実施済み（OK・NG・保留・対象外）÷項目数、合格率＝OK÷（OK・NG・保留）。結果列が空欄の項目は未実施として数えます。</t>
  </si>
  <si>
    <t xml:space="preserve">No</t>
  </si>
  <si>
    <t xml:space="preserve">試験ID</t>
  </si>
  <si>
    <t xml:space="preserve">中分類</t>
  </si>
  <si>
    <t xml:space="preserve">試験観点</t>
  </si>
  <si>
    <t xml:space="preserve">前提条件</t>
  </si>
  <si>
    <t xml:space="preserve">試験手順</t>
  </si>
  <si>
    <t xml:space="preserve">期待結果</t>
  </si>
  <si>
    <t xml:space="preserve">参照</t>
  </si>
  <si>
    <t xml:space="preserve">実施日</t>
  </si>
  <si>
    <t xml:space="preserve">実施者</t>
  </si>
  <si>
    <t xml:space="preserve">不具合No</t>
  </si>
  <si>
    <t xml:space="preserve">備考</t>
  </si>
  <si>
    <t xml:space="preserve">ST-001</t>
  </si>
  <si>
    <t xml:space="preserve">新規利用</t>
  </si>
  <si>
    <t xml:space="preserve">初回利用から計画確認まで</t>
  </si>
  <si>
    <t xml:space="preserve">検証環境、未登録メール</t>
  </si>
  <si>
    <r>
      <rPr>
        <sz val="10"/>
        <color rgb="FF000000"/>
        <rFont val="Yu Gothic"/>
        <family val="0"/>
        <charset val="1"/>
      </rPr>
      <t xml:space="preserve">1. </t>
    </r>
    <r>
      <rPr>
        <sz val="10"/>
        <color rgb="FF000000"/>
        <rFont val="Noto Sans CJK SC"/>
        <family val="2"/>
      </rPr>
      <t xml:space="preserve">サインアップし確認コードで有効化する
</t>
    </r>
    <r>
      <rPr>
        <sz val="10"/>
        <color rgb="FF000000"/>
        <rFont val="Yu Gothic"/>
        <family val="0"/>
        <charset val="1"/>
      </rPr>
      <t xml:space="preserve">2. </t>
    </r>
    <r>
      <rPr>
        <sz val="10"/>
        <color rgb="FF000000"/>
        <rFont val="Noto Sans CJK SC"/>
        <family val="2"/>
      </rPr>
      <t xml:space="preserve">オンボーディング</t>
    </r>
    <r>
      <rPr>
        <sz val="10"/>
        <color rgb="FF000000"/>
        <rFont val="Yu Gothic"/>
        <family val="0"/>
        <charset val="1"/>
      </rPr>
      <t xml:space="preserve">6</t>
    </r>
    <r>
      <rPr>
        <sz val="10"/>
        <color rgb="FF000000"/>
        <rFont val="Noto Sans CJK SC"/>
        <family val="2"/>
      </rPr>
      <t xml:space="preserve">ステップを完了する
</t>
    </r>
    <r>
      <rPr>
        <sz val="10"/>
        <color rgb="FF000000"/>
        <rFont val="Yu Gothic"/>
        <family val="0"/>
        <charset val="1"/>
      </rPr>
      <t xml:space="preserve">3. </t>
    </r>
    <r>
      <rPr>
        <sz val="10"/>
        <color rgb="FF000000"/>
        <rFont val="Noto Sans CJK SC"/>
        <family val="2"/>
      </rPr>
      <t xml:space="preserve">想定パターン</t>
    </r>
    <r>
      <rPr>
        <sz val="10"/>
        <color rgb="FF000000"/>
        <rFont val="Yu Gothic"/>
        <family val="0"/>
        <charset val="1"/>
      </rPr>
      <t xml:space="preserve">1</t>
    </r>
    <r>
      <rPr>
        <sz val="10"/>
        <color rgb="FF000000"/>
        <rFont val="Noto Sans CJK SC"/>
        <family val="2"/>
      </rPr>
      <t xml:space="preserve">を入力し計画を生成する
</t>
    </r>
    <r>
      <rPr>
        <sz val="10"/>
        <color rgb="FF000000"/>
        <rFont val="Yu Gothic"/>
        <family val="0"/>
        <charset val="1"/>
      </rPr>
      <t xml:space="preserve">4. </t>
    </r>
    <r>
      <rPr>
        <sz val="10"/>
        <color rgb="FF000000"/>
        <rFont val="Noto Sans CJK SC"/>
        <family val="2"/>
      </rPr>
      <t xml:space="preserve">地図とタイムラインで内容を確認する</t>
    </r>
  </si>
  <si>
    <t xml:space="preserve">途中でエラーや行き止まりがなく、最初の計画が地図とタイムラインで確認できる</t>
  </si>
  <si>
    <t xml:space="preserve">Web</t>
  </si>
  <si>
    <t xml:space="preserve">要件1.3／1.4</t>
  </si>
  <si>
    <t xml:space="preserve">ST-002</t>
  </si>
  <si>
    <t xml:space="preserve">想定パターン</t>
  </si>
  <si>
    <t xml:space="preserve">待ち合わせ＋買い物</t>
  </si>
  <si>
    <t xml:space="preserve">本番同等の検証環境、オンボーディング済みのテストユーザー</t>
  </si>
  <si>
    <r>
      <rPr>
        <sz val="10"/>
        <color rgb="FF000000"/>
        <rFont val="Yu Gothic"/>
        <family val="0"/>
        <charset val="1"/>
      </rPr>
      <t xml:space="preserve">1. </t>
    </r>
    <r>
      <rPr>
        <sz val="10"/>
        <color rgb="FF000000"/>
        <rFont val="Noto Sans CJK SC"/>
        <family val="2"/>
      </rPr>
      <t xml:space="preserve">「東京駅に</t>
    </r>
    <r>
      <rPr>
        <sz val="10"/>
        <color rgb="FF000000"/>
        <rFont val="Yu Gothic"/>
        <family val="0"/>
        <charset val="1"/>
      </rPr>
      <t xml:space="preserve">13</t>
    </r>
    <r>
      <rPr>
        <sz val="10"/>
        <color rgb="FF000000"/>
        <rFont val="Noto Sans CJK SC"/>
        <family val="2"/>
      </rPr>
      <t xml:space="preserve">時に待ち合わせがあります。カレーの食材と排水口のネットを買いたいです。」で生成する
</t>
    </r>
    <r>
      <rPr>
        <sz val="10"/>
        <color rgb="FF000000"/>
        <rFont val="Yu Gothic"/>
        <family val="0"/>
        <charset val="1"/>
      </rPr>
      <t xml:space="preserve">2. </t>
    </r>
    <r>
      <rPr>
        <sz val="10"/>
        <color rgb="FF000000"/>
        <rFont val="Noto Sans CJK SC"/>
        <family val="2"/>
      </rPr>
      <t xml:space="preserve">出発時刻・乗換・駅出口・買い物立寄り・帰宅を確認する</t>
    </r>
  </si>
  <si>
    <r>
      <rPr>
        <sz val="10"/>
        <color rgb="FF000000"/>
        <rFont val="Yu Gothic"/>
        <family val="0"/>
        <charset val="1"/>
      </rPr>
      <t xml:space="preserve">13</t>
    </r>
    <r>
      <rPr>
        <sz val="10"/>
        <color rgb="FF000000"/>
        <rFont val="Noto Sans CJK SC"/>
        <family val="2"/>
      </rPr>
      <t xml:space="preserve">時に東京駅へ間に合う出発時刻が逆算され、カレーの食材と排水口ネットを買える営業中の店舗が順序よく組み込まれている</t>
    </r>
  </si>
  <si>
    <t xml:space="preserve">見積書1.2</t>
  </si>
  <si>
    <t xml:space="preserve">ST-003</t>
  </si>
  <si>
    <t xml:space="preserve">通院＋日用品＋カレンダー</t>
  </si>
  <si>
    <t xml:space="preserve">本番同等の検証環境、オンボーディング済みのテストユーザー、Googleカレンダーに当日の別予定を登録済み</t>
  </si>
  <si>
    <r>
      <rPr>
        <sz val="10"/>
        <color rgb="FF000000"/>
        <rFont val="Yu Gothic"/>
        <family val="0"/>
        <charset val="1"/>
      </rPr>
      <t xml:space="preserve">1. </t>
    </r>
    <r>
      <rPr>
        <sz val="10"/>
        <color rgb="FF000000"/>
        <rFont val="Noto Sans CJK SC"/>
        <family val="2"/>
      </rPr>
      <t xml:space="preserve">「</t>
    </r>
    <r>
      <rPr>
        <sz val="10"/>
        <color rgb="FF000000"/>
        <rFont val="Yu Gothic"/>
        <family val="0"/>
        <charset val="1"/>
      </rPr>
      <t xml:space="preserve">9</t>
    </r>
    <r>
      <rPr>
        <sz val="10"/>
        <color rgb="FF000000"/>
        <rFont val="Noto Sans CJK SC"/>
        <family val="2"/>
      </rPr>
      <t xml:space="preserve">時に歯医者の予約があります。帰りに卵とパンを買いたいです。」で生成する</t>
    </r>
  </si>
  <si>
    <t xml:space="preserve">通院・買い物・カレンダー予定までを含む一日の計画になり、予定と時間が重ならない</t>
  </si>
  <si>
    <t xml:space="preserve">ST-004</t>
  </si>
  <si>
    <t xml:space="preserve">出発直前の申告</t>
  </si>
  <si>
    <r>
      <rPr>
        <sz val="10"/>
        <color rgb="FF000000"/>
        <rFont val="Yu Gothic"/>
        <family val="0"/>
        <charset val="1"/>
      </rPr>
      <t xml:space="preserve">1. </t>
    </r>
    <r>
      <rPr>
        <sz val="10"/>
        <color rgb="FF000000"/>
        <rFont val="Noto Sans CJK SC"/>
        <family val="2"/>
      </rPr>
      <t xml:space="preserve">現在の</t>
    </r>
    <r>
      <rPr>
        <sz val="10"/>
        <color rgb="FF000000"/>
        <rFont val="Yu Gothic"/>
        <family val="0"/>
        <charset val="1"/>
      </rPr>
      <t xml:space="preserve">40</t>
    </r>
    <r>
      <rPr>
        <sz val="10"/>
        <color rgb="FF000000"/>
        <rFont val="Noto Sans CJK SC"/>
        <family val="2"/>
      </rPr>
      <t xml:space="preserve">分後の予定で「◯時に打ち合わせがあるけど、まだ準備できていない。」と入力する</t>
    </r>
  </si>
  <si>
    <t xml:space="preserve">残り時間で間に合う経路、または間に合わない場合の簡略案が示される</t>
  </si>
  <si>
    <t xml:space="preserve">ST-005</t>
  </si>
  <si>
    <t xml:space="preserve">確認質問を経た生成</t>
  </si>
  <si>
    <r>
      <rPr>
        <sz val="10"/>
        <color rgb="FF000000"/>
        <rFont val="Yu Gothic"/>
        <family val="0"/>
        <charset val="1"/>
      </rPr>
      <t xml:space="preserve">1. </t>
    </r>
    <r>
      <rPr>
        <sz val="10"/>
        <color rgb="FF000000"/>
        <rFont val="Noto Sans CJK SC"/>
        <family val="2"/>
      </rPr>
      <t xml:space="preserve">「午後から買い物」のみ入力する
</t>
    </r>
    <r>
      <rPr>
        <sz val="10"/>
        <color rgb="FF000000"/>
        <rFont val="Yu Gothic"/>
        <family val="0"/>
        <charset val="1"/>
      </rPr>
      <t xml:space="preserve">2. </t>
    </r>
    <r>
      <rPr>
        <sz val="10"/>
        <color rgb="FF000000"/>
        <rFont val="Noto Sans CJK SC"/>
        <family val="2"/>
      </rPr>
      <t xml:space="preserve">確認質問に</t>
    </r>
    <r>
      <rPr>
        <sz val="10"/>
        <color rgb="FF000000"/>
        <rFont val="Yu Gothic"/>
        <family val="0"/>
        <charset val="1"/>
      </rPr>
      <t xml:space="preserve">2</t>
    </r>
    <r>
      <rPr>
        <sz val="10"/>
        <color rgb="FF000000"/>
        <rFont val="Noto Sans CJK SC"/>
        <family val="2"/>
      </rPr>
      <t xml:space="preserve">回答える</t>
    </r>
  </si>
  <si>
    <t xml:space="preserve">確認質問は最大2回で、回答内容が反映された計画が完成する</t>
  </si>
  <si>
    <t xml:space="preserve">要件3.4</t>
  </si>
  <si>
    <t xml:space="preserve">ST-006</t>
  </si>
  <si>
    <t xml:space="preserve">情報不足のまま上限到達</t>
  </si>
  <si>
    <r>
      <rPr>
        <sz val="10"/>
        <color rgb="FF000000"/>
        <rFont val="Yu Gothic"/>
        <family val="0"/>
        <charset val="1"/>
      </rPr>
      <t xml:space="preserve">1. </t>
    </r>
    <r>
      <rPr>
        <sz val="10"/>
        <color rgb="FF000000"/>
        <rFont val="Noto Sans CJK SC"/>
        <family val="2"/>
      </rPr>
      <t xml:space="preserve">曖昧な入力をし、</t>
    </r>
    <r>
      <rPr>
        <sz val="10"/>
        <color rgb="FF000000"/>
        <rFont val="Yu Gothic"/>
        <family val="0"/>
        <charset val="1"/>
      </rPr>
      <t xml:space="preserve">2</t>
    </r>
    <r>
      <rPr>
        <sz val="10"/>
        <color rgb="FF000000"/>
        <rFont val="Noto Sans CJK SC"/>
        <family val="2"/>
      </rPr>
      <t xml:space="preserve">回とも曖昧に答える</t>
    </r>
  </si>
  <si>
    <t xml:space="preserve">仮定（デフォルト値）を明示した計画が提示され、どの点を仮定したかが分かる</t>
  </si>
  <si>
    <t xml:space="preserve">ST-007</t>
  </si>
  <si>
    <t xml:space="preserve">複合</t>
  </si>
  <si>
    <t xml:space="preserve">ルーティン＋メモ＋カレンダー</t>
  </si>
  <si>
    <t xml:space="preserve">本番同等の検証環境、オンボーディング済みのテストユーザー、ルーティン・メモ（品目3件）・カレンダー予定を登録済み、全同意ON</t>
  </si>
  <si>
    <r>
      <rPr>
        <sz val="10"/>
        <color rgb="FF000000"/>
        <rFont val="Yu Gothic"/>
        <family val="0"/>
        <charset val="1"/>
      </rPr>
      <t xml:space="preserve">1. </t>
    </r>
    <r>
      <rPr>
        <sz val="10"/>
        <color rgb="FF000000"/>
        <rFont val="Noto Sans CJK SC"/>
        <family val="2"/>
      </rPr>
      <t xml:space="preserve">簡単な用事を入力して生成する</t>
    </r>
  </si>
  <si>
    <t xml:space="preserve">ルーティン、メモの品目、カレンダー予定がすべて矛盾なく1つの計画に組み込まれる</t>
  </si>
  <si>
    <t xml:space="preserve">要件1.4</t>
  </si>
  <si>
    <t xml:space="preserve">ST-008</t>
  </si>
  <si>
    <t xml:space="preserve">複数の立寄り</t>
  </si>
  <si>
    <r>
      <rPr>
        <sz val="10"/>
        <color rgb="FF000000"/>
        <rFont val="Yu Gothic"/>
        <family val="0"/>
        <charset val="1"/>
      </rPr>
      <t xml:space="preserve">1. </t>
    </r>
    <r>
      <rPr>
        <sz val="10"/>
        <color rgb="FF000000"/>
        <rFont val="Noto Sans CJK SC"/>
        <family val="2"/>
      </rPr>
      <t xml:space="preserve">用事</t>
    </r>
    <r>
      <rPr>
        <sz val="10"/>
        <color rgb="FF000000"/>
        <rFont val="Yu Gothic"/>
        <family val="0"/>
        <charset val="1"/>
      </rPr>
      <t xml:space="preserve">1</t>
    </r>
    <r>
      <rPr>
        <sz val="10"/>
        <color rgb="FF000000"/>
        <rFont val="Noto Sans CJK SC"/>
        <family val="2"/>
      </rPr>
      <t xml:space="preserve">件と買い物</t>
    </r>
    <r>
      <rPr>
        <sz val="10"/>
        <color rgb="FF000000"/>
        <rFont val="Yu Gothic"/>
        <family val="0"/>
        <charset val="1"/>
      </rPr>
      <t xml:space="preserve">4</t>
    </r>
    <r>
      <rPr>
        <sz val="10"/>
        <color rgb="FF000000"/>
        <rFont val="Noto Sans CJK SC"/>
        <family val="2"/>
      </rPr>
      <t xml:space="preserve">件を入力して生成する</t>
    </r>
  </si>
  <si>
    <t xml:space="preserve">立寄り順が効率的で、帰宅時刻までに収まっている</t>
  </si>
  <si>
    <t xml:space="preserve">見積書2.1</t>
  </si>
  <si>
    <t xml:space="preserve">ST-009</t>
  </si>
  <si>
    <t xml:space="preserve">自転車・車での外出</t>
  </si>
  <si>
    <r>
      <rPr>
        <sz val="10"/>
        <color rgb="FF000000"/>
        <rFont val="Yu Gothic"/>
        <family val="0"/>
        <charset val="1"/>
      </rPr>
      <t xml:space="preserve">1. </t>
    </r>
    <r>
      <rPr>
        <sz val="10"/>
        <color rgb="FF000000"/>
        <rFont val="Noto Sans CJK SC"/>
        <family val="2"/>
      </rPr>
      <t xml:space="preserve">「自転車で近所のスーパーと郵便局へ」「車でホームセンターへ」でそれぞれ生成する</t>
    </r>
  </si>
  <si>
    <t xml:space="preserve">指定の移動手段でルートが組まれ、地図の色分けも手段どおり</t>
  </si>
  <si>
    <t xml:space="preserve">ST-010</t>
  </si>
  <si>
    <t xml:space="preserve">修正</t>
  </si>
  <si>
    <t xml:space="preserve">自然文での修正</t>
  </si>
  <si>
    <t xml:space="preserve">本番同等の検証環境、オンボーディング済みのテストユーザー、計画生成済み</t>
  </si>
  <si>
    <r>
      <rPr>
        <sz val="10"/>
        <color rgb="FF000000"/>
        <rFont val="Yu Gothic"/>
        <family val="0"/>
        <charset val="1"/>
      </rPr>
      <t xml:space="preserve">1. </t>
    </r>
    <r>
      <rPr>
        <sz val="10"/>
        <color rgb="FF000000"/>
        <rFont val="Noto Sans CJK SC"/>
        <family val="2"/>
      </rPr>
      <t xml:space="preserve">「待ち合わせを</t>
    </r>
    <r>
      <rPr>
        <sz val="10"/>
        <color rgb="FF000000"/>
        <rFont val="Yu Gothic"/>
        <family val="0"/>
        <charset val="1"/>
      </rPr>
      <t xml:space="preserve">14</t>
    </r>
    <r>
      <rPr>
        <sz val="10"/>
        <color rgb="FF000000"/>
        <rFont val="Noto Sans CJK SC"/>
        <family val="2"/>
      </rPr>
      <t xml:space="preserve">時に変更」と修正する
</t>
    </r>
    <r>
      <rPr>
        <sz val="10"/>
        <color rgb="FF000000"/>
        <rFont val="Yu Gothic"/>
        <family val="0"/>
        <charset val="1"/>
      </rPr>
      <t xml:space="preserve">2. </t>
    </r>
    <r>
      <rPr>
        <sz val="10"/>
        <color rgb="FF000000"/>
        <rFont val="Noto Sans CJK SC"/>
        <family val="2"/>
      </rPr>
      <t xml:space="preserve">「パンはやめる」と修正する</t>
    </r>
  </si>
  <si>
    <t xml:space="preserve">それぞれ出発時刻・立寄りが正しく更新され、変更前の情報が残らない</t>
  </si>
  <si>
    <t xml:space="preserve">要件2.2.3</t>
  </si>
  <si>
    <t xml:space="preserve">ST-011</t>
  </si>
  <si>
    <t xml:space="preserve">項目削除</t>
  </si>
  <si>
    <t xml:space="preserve">本番同等の検証環境、オンボーディング済みのテストユーザー、立寄り2件の計画</t>
  </si>
  <si>
    <r>
      <rPr>
        <sz val="10"/>
        <color rgb="FF000000"/>
        <rFont val="Yu Gothic"/>
        <family val="0"/>
        <charset val="1"/>
      </rPr>
      <t xml:space="preserve">1. 1</t>
    </r>
    <r>
      <rPr>
        <sz val="10"/>
        <color rgb="FF000000"/>
        <rFont val="Noto Sans CJK SC"/>
        <family val="2"/>
      </rPr>
      <t xml:space="preserve">件を削除する</t>
    </r>
  </si>
  <si>
    <t xml:space="preserve">前後の移動が再計算され、所要時間・帰宅時刻が更新される</t>
  </si>
  <si>
    <t xml:space="preserve">ST-012</t>
  </si>
  <si>
    <t xml:space="preserve">設定変更</t>
  </si>
  <si>
    <t xml:space="preserve">優先条件の切替比較</t>
  </si>
  <si>
    <r>
      <rPr>
        <sz val="10"/>
        <color rgb="FF000000"/>
        <rFont val="Yu Gothic"/>
        <family val="0"/>
        <charset val="1"/>
      </rPr>
      <t xml:space="preserve">1. </t>
    </r>
    <r>
      <rPr>
        <sz val="10"/>
        <color rgb="FF000000"/>
        <rFont val="Noto Sans CJK SC"/>
        <family val="2"/>
      </rPr>
      <t xml:space="preserve">同じ入力で遅刻厳禁・節約重視・ポイント優先の</t>
    </r>
    <r>
      <rPr>
        <sz val="10"/>
        <color rgb="FF000000"/>
        <rFont val="Yu Gothic"/>
        <family val="0"/>
        <charset val="1"/>
      </rPr>
      <t xml:space="preserve">3</t>
    </r>
    <r>
      <rPr>
        <sz val="10"/>
        <color rgb="FF000000"/>
        <rFont val="Noto Sans CJK SC"/>
        <family val="2"/>
      </rPr>
      <t xml:space="preserve">通りを生成し比較する</t>
    </r>
  </si>
  <si>
    <r>
      <rPr>
        <sz val="10"/>
        <color rgb="FF000000"/>
        <rFont val="Yu Gothic"/>
        <family val="0"/>
        <charset val="1"/>
      </rPr>
      <t xml:space="preserve">3</t>
    </r>
    <r>
      <rPr>
        <sz val="10"/>
        <color rgb="FF000000"/>
        <rFont val="Noto Sans CJK SC"/>
        <family val="2"/>
      </rPr>
      <t xml:space="preserve">通りの違いが条件の意図どおり（余裕時間・運賃・ポイント対象店舗）になっている</t>
    </r>
  </si>
  <si>
    <t xml:space="preserve">ST-013</t>
  </si>
  <si>
    <t xml:space="preserve">日常利用</t>
  </si>
  <si>
    <t xml:space="preserve">翌日の再利用</t>
  </si>
  <si>
    <r>
      <rPr>
        <sz val="10"/>
        <color rgb="FF000000"/>
        <rFont val="Yu Gothic"/>
        <family val="0"/>
        <charset val="1"/>
      </rPr>
      <t xml:space="preserve">1. </t>
    </r>
    <r>
      <rPr>
        <sz val="10"/>
        <color rgb="FF000000"/>
        <rFont val="Noto Sans CJK SC"/>
        <family val="2"/>
      </rPr>
      <t xml:space="preserve">前日に計画を生成し、翌日に新しい計画を生成する</t>
    </r>
  </si>
  <si>
    <t xml:space="preserve">前日分の影響を受けず、当日の計画が生成される。生成上限も日付で区切られる</t>
  </si>
  <si>
    <t xml:space="preserve">要件3.2.1</t>
  </si>
  <si>
    <t xml:space="preserve">ST-014</t>
  </si>
  <si>
    <t xml:space="preserve">買い物リストの活用</t>
  </si>
  <si>
    <r>
      <rPr>
        <sz val="10"/>
        <color rgb="FF000000"/>
        <rFont val="Yu Gothic"/>
        <family val="0"/>
        <charset val="1"/>
      </rPr>
      <t xml:space="preserve">1. </t>
    </r>
    <r>
      <rPr>
        <sz val="10"/>
        <color rgb="FF000000"/>
        <rFont val="Noto Sans CJK SC"/>
        <family val="2"/>
      </rPr>
      <t xml:space="preserve">メモに品目を書く
</t>
    </r>
    <r>
      <rPr>
        <sz val="10"/>
        <color rgb="FF000000"/>
        <rFont val="Yu Gothic"/>
        <family val="0"/>
        <charset val="1"/>
      </rPr>
      <t xml:space="preserve">2. </t>
    </r>
    <r>
      <rPr>
        <sz val="10"/>
        <color rgb="FF000000"/>
        <rFont val="Noto Sans CJK SC"/>
        <family val="2"/>
      </rPr>
      <t xml:space="preserve">計画を生成し買い物をする想定で行チェックする
</t>
    </r>
    <r>
      <rPr>
        <sz val="10"/>
        <color rgb="FF000000"/>
        <rFont val="Yu Gothic"/>
        <family val="0"/>
        <charset val="1"/>
      </rPr>
      <t xml:space="preserve">3. </t>
    </r>
    <r>
      <rPr>
        <sz val="10"/>
        <color rgb="FF000000"/>
        <rFont val="Noto Sans CJK SC"/>
        <family val="2"/>
      </rPr>
      <t xml:space="preserve">翌日に再度確認する</t>
    </r>
  </si>
  <si>
    <t xml:space="preserve">品目が計画に反映され、チェック状態が保持される</t>
  </si>
  <si>
    <t xml:space="preserve">要件2.2.5</t>
  </si>
  <si>
    <t xml:space="preserve">ST-015</t>
  </si>
  <si>
    <t xml:space="preserve">複数ブラウザ</t>
  </si>
  <si>
    <t xml:space="preserve">2つのブラウザの併用</t>
  </si>
  <si>
    <t xml:space="preserve">同一ユーザーでEdgeとChromeにログイン</t>
  </si>
  <si>
    <r>
      <rPr>
        <sz val="10"/>
        <color rgb="FF000000"/>
        <rFont val="Yu Gothic"/>
        <family val="0"/>
        <charset val="1"/>
      </rPr>
      <t xml:space="preserve">1. Edge</t>
    </r>
    <r>
      <rPr>
        <sz val="10"/>
        <color rgb="FF000000"/>
        <rFont val="Noto Sans CJK SC"/>
        <family val="2"/>
      </rPr>
      <t xml:space="preserve">でメモとルーティンを登録する
</t>
    </r>
    <r>
      <rPr>
        <sz val="10"/>
        <color rgb="FF000000"/>
        <rFont val="Yu Gothic"/>
        <family val="0"/>
        <charset val="1"/>
      </rPr>
      <t xml:space="preserve">2. Chrome</t>
    </r>
    <r>
      <rPr>
        <sz val="10"/>
        <color rgb="FF000000"/>
        <rFont val="Noto Sans CJK SC"/>
        <family val="2"/>
      </rPr>
      <t xml:space="preserve">で計画を生成する</t>
    </r>
  </si>
  <si>
    <r>
      <rPr>
        <sz val="10"/>
        <color rgb="FF000000"/>
        <rFont val="Yu Gothic"/>
        <family val="0"/>
        <charset val="1"/>
      </rPr>
      <t xml:space="preserve">Chrome</t>
    </r>
    <r>
      <rPr>
        <sz val="10"/>
        <color rgb="FF000000"/>
        <rFont val="Noto Sans CJK SC"/>
        <family val="2"/>
      </rPr>
      <t xml:space="preserve">でも、</t>
    </r>
    <r>
      <rPr>
        <sz val="10"/>
        <color rgb="FF000000"/>
        <rFont val="Yu Gothic"/>
        <family val="0"/>
        <charset val="1"/>
      </rPr>
      <t xml:space="preserve">Edge</t>
    </r>
    <r>
      <rPr>
        <sz val="10"/>
        <color rgb="FF000000"/>
        <rFont val="Noto Sans CJK SC"/>
        <family val="2"/>
      </rPr>
      <t xml:space="preserve">で登録したデータが使われる</t>
    </r>
  </si>
  <si>
    <t xml:space="preserve">ST-016</t>
  </si>
  <si>
    <t xml:space="preserve">複数端末</t>
  </si>
  <si>
    <t xml:space="preserve">全端末ログアウト</t>
  </si>
  <si>
    <r>
      <rPr>
        <sz val="10"/>
        <color rgb="FF000000"/>
        <rFont val="Yu Gothic"/>
        <family val="0"/>
        <charset val="1"/>
      </rPr>
      <t xml:space="preserve">3</t>
    </r>
    <r>
      <rPr>
        <sz val="10"/>
        <color rgb="FF000000"/>
        <rFont val="Noto Sans CJK SC"/>
        <family val="2"/>
      </rPr>
      <t xml:space="preserve">端末でログイン中</t>
    </r>
  </si>
  <si>
    <r>
      <rPr>
        <sz val="10"/>
        <color rgb="FF000000"/>
        <rFont val="Yu Gothic"/>
        <family val="0"/>
        <charset val="1"/>
      </rPr>
      <t xml:space="preserve">1. Web</t>
    </r>
    <r>
      <rPr>
        <sz val="10"/>
        <color rgb="FF000000"/>
        <rFont val="Noto Sans CJK SC"/>
        <family val="2"/>
      </rPr>
      <t xml:space="preserve">から全端末ログアウトする</t>
    </r>
  </si>
  <si>
    <t xml:space="preserve">他の2端末もログイン画面に戻る</t>
  </si>
  <si>
    <t xml:space="preserve">要件2.2.6</t>
  </si>
  <si>
    <t xml:space="preserve">ST-017</t>
  </si>
  <si>
    <t xml:space="preserve">アカウント</t>
  </si>
  <si>
    <t xml:space="preserve">パスワード忘れからの復帰</t>
  </si>
  <si>
    <r>
      <rPr>
        <sz val="10"/>
        <color rgb="FF000000"/>
        <rFont val="Yu Gothic"/>
        <family val="0"/>
        <charset val="1"/>
      </rPr>
      <t xml:space="preserve">1. </t>
    </r>
    <r>
      <rPr>
        <sz val="10"/>
        <color rgb="FF000000"/>
        <rFont val="Noto Sans CJK SC"/>
        <family val="2"/>
      </rPr>
      <t xml:space="preserve">ログアウトし、パスワードリセットで新パスワードを設定してサインインする</t>
    </r>
  </si>
  <si>
    <t xml:space="preserve">データを失わずに利用を再開できる</t>
  </si>
  <si>
    <t xml:space="preserve">要件2.2.8</t>
  </si>
  <si>
    <t xml:space="preserve">ST-018</t>
  </si>
  <si>
    <t xml:space="preserve">連携の解除と再連携</t>
  </si>
  <si>
    <t xml:space="preserve">本番同等の検証環境、オンボーディング済みのテストユーザー、Google連携済み</t>
  </si>
  <si>
    <r>
      <rPr>
        <sz val="10"/>
        <color rgb="FF000000"/>
        <rFont val="Yu Gothic"/>
        <family val="0"/>
        <charset val="1"/>
      </rPr>
      <t xml:space="preserve">1. </t>
    </r>
    <r>
      <rPr>
        <sz val="10"/>
        <color rgb="FF000000"/>
        <rFont val="Noto Sans CJK SC"/>
        <family val="2"/>
      </rPr>
      <t xml:space="preserve">連携を解除して計画を生成する
</t>
    </r>
    <r>
      <rPr>
        <sz val="10"/>
        <color rgb="FF000000"/>
        <rFont val="Yu Gothic"/>
        <family val="0"/>
        <charset val="1"/>
      </rPr>
      <t xml:space="preserve">2. Outlook</t>
    </r>
    <r>
      <rPr>
        <sz val="10"/>
        <color rgb="FF000000"/>
        <rFont val="Noto Sans CJK SC"/>
        <family val="2"/>
      </rPr>
      <t xml:space="preserve">で連携して計画を生成する</t>
    </r>
  </si>
  <si>
    <t xml:space="preserve">解除後は予定が使われず、Outlook連携後はOutlookの予定が使われる</t>
  </si>
  <si>
    <t xml:space="preserve">ST-019</t>
  </si>
  <si>
    <t xml:space="preserve">退会</t>
  </si>
  <si>
    <t xml:space="preserve">本番同等の検証環境、オンボーディング済みのテストユーザー、全機能を利用済みのユーザー</t>
  </si>
  <si>
    <r>
      <rPr>
        <sz val="10"/>
        <color rgb="FF000000"/>
        <rFont val="Yu Gothic"/>
        <family val="0"/>
        <charset val="1"/>
      </rPr>
      <t xml:space="preserve">1. </t>
    </r>
    <r>
      <rPr>
        <sz val="10"/>
        <color rgb="FF000000"/>
        <rFont val="Noto Sans CJK SC"/>
        <family val="2"/>
      </rPr>
      <t xml:space="preserve">退会する
</t>
    </r>
    <r>
      <rPr>
        <sz val="10"/>
        <color rgb="FF000000"/>
        <rFont val="Yu Gothic"/>
        <family val="0"/>
        <charset val="1"/>
      </rPr>
      <t xml:space="preserve">2. </t>
    </r>
    <r>
      <rPr>
        <sz val="10"/>
        <color rgb="FF000000"/>
        <rFont val="Noto Sans CJK SC"/>
        <family val="2"/>
      </rPr>
      <t xml:space="preserve">同じメールでサインインを試す
</t>
    </r>
    <r>
      <rPr>
        <sz val="10"/>
        <color rgb="FF000000"/>
        <rFont val="Yu Gothic"/>
        <family val="0"/>
        <charset val="1"/>
      </rPr>
      <t xml:space="preserve">3. </t>
    </r>
    <r>
      <rPr>
        <sz val="10"/>
        <color rgb="FF000000"/>
        <rFont val="Noto Sans CJK SC"/>
        <family val="2"/>
      </rPr>
      <t xml:space="preserve">同じメールで再登録する</t>
    </r>
  </si>
  <si>
    <t xml:space="preserve">退会後はサインインできず、再登録後は過去データが一切表示されない</t>
  </si>
  <si>
    <t xml:space="preserve">要件2.2.9</t>
  </si>
  <si>
    <t xml:space="preserve">ST-020</t>
  </si>
  <si>
    <t xml:space="preserve">上限</t>
  </si>
  <si>
    <t xml:space="preserve">日次上限への到達</t>
  </si>
  <si>
    <r>
      <rPr>
        <sz val="10"/>
        <color rgb="FF000000"/>
        <rFont val="Yu Gothic"/>
        <family val="0"/>
        <charset val="1"/>
      </rPr>
      <t xml:space="preserve">1. 1</t>
    </r>
    <r>
      <rPr>
        <sz val="10"/>
        <color rgb="FF000000"/>
        <rFont val="Noto Sans CJK SC"/>
        <family val="2"/>
      </rPr>
      <t xml:space="preserve">日に</t>
    </r>
    <r>
      <rPr>
        <sz val="10"/>
        <color rgb="FF000000"/>
        <rFont val="Yu Gothic"/>
        <family val="0"/>
        <charset val="1"/>
      </rPr>
      <t xml:space="preserve">20</t>
    </r>
    <r>
      <rPr>
        <sz val="10"/>
        <color rgb="FF000000"/>
        <rFont val="Noto Sans CJK SC"/>
        <family val="2"/>
      </rPr>
      <t xml:space="preserve">回生成する
</t>
    </r>
    <r>
      <rPr>
        <sz val="10"/>
        <color rgb="FF000000"/>
        <rFont val="Yu Gothic"/>
        <family val="0"/>
        <charset val="1"/>
      </rPr>
      <t xml:space="preserve">2. 21</t>
    </r>
    <r>
      <rPr>
        <sz val="10"/>
        <color rgb="FF000000"/>
        <rFont val="Noto Sans CJK SC"/>
        <family val="2"/>
      </rPr>
      <t xml:space="preserve">回目を生成する</t>
    </r>
  </si>
  <si>
    <r>
      <rPr>
        <sz val="10"/>
        <color rgb="FF000000"/>
        <rFont val="Yu Gothic"/>
        <family val="0"/>
        <charset val="1"/>
      </rPr>
      <t xml:space="preserve">21</t>
    </r>
    <r>
      <rPr>
        <sz val="10"/>
        <color rgb="FF000000"/>
        <rFont val="Noto Sans CJK SC"/>
        <family val="2"/>
      </rPr>
      <t xml:space="preserve">回目で上限到達のメッセージが表示され、翌日には再び利用できる</t>
    </r>
  </si>
  <si>
    <t xml:space="preserve">ST-021</t>
  </si>
  <si>
    <t xml:space="preserve">メモ</t>
  </si>
  <si>
    <r>
      <rPr>
        <sz val="10"/>
        <color rgb="FF000000"/>
        <rFont val="Yu Gothic"/>
        <family val="0"/>
        <charset val="1"/>
      </rPr>
      <t xml:space="preserve">1</t>
    </r>
    <r>
      <rPr>
        <sz val="10"/>
        <color rgb="FF000000"/>
        <rFont val="Noto Sans CJK SC"/>
        <family val="2"/>
      </rPr>
      <t xml:space="preserve">週間後の自動削除</t>
    </r>
  </si>
  <si>
    <r>
      <rPr>
        <sz val="10"/>
        <color rgb="FF000000"/>
        <rFont val="Yu Gothic"/>
        <family val="0"/>
        <charset val="1"/>
      </rPr>
      <t xml:space="preserve">1. </t>
    </r>
    <r>
      <rPr>
        <sz val="10"/>
        <color rgb="FF000000"/>
        <rFont val="Noto Sans CJK SC"/>
        <family val="2"/>
      </rPr>
      <t xml:space="preserve">メモを作成し、作成日時を</t>
    </r>
    <r>
      <rPr>
        <sz val="10"/>
        <color rgb="FF000000"/>
        <rFont val="Yu Gothic"/>
        <family val="0"/>
        <charset val="1"/>
      </rPr>
      <t xml:space="preserve">8</t>
    </r>
    <r>
      <rPr>
        <sz val="10"/>
        <color rgb="FF000000"/>
        <rFont val="Noto Sans CJK SC"/>
        <family val="2"/>
      </rPr>
      <t xml:space="preserve">日前に変更する（検証用操作）
</t>
    </r>
    <r>
      <rPr>
        <sz val="10"/>
        <color rgb="FF000000"/>
        <rFont val="Yu Gothic"/>
        <family val="0"/>
        <charset val="1"/>
      </rPr>
      <t xml:space="preserve">2. </t>
    </r>
    <r>
      <rPr>
        <sz val="10"/>
        <color rgb="FF000000"/>
        <rFont val="Noto Sans CJK SC"/>
        <family val="2"/>
      </rPr>
      <t xml:space="preserve">翌日のバッチ実行後に画面を確認する</t>
    </r>
  </si>
  <si>
    <t xml:space="preserve">メモが一覧から消えている</t>
  </si>
  <si>
    <t xml:space="preserve">要件3.2.2</t>
  </si>
  <si>
    <t xml:space="preserve">ST-022</t>
  </si>
  <si>
    <t xml:space="preserve">地域</t>
  </si>
  <si>
    <t xml:space="preserve">首都圏以外の経路</t>
  </si>
  <si>
    <r>
      <rPr>
        <sz val="10"/>
        <color rgb="FF000000"/>
        <rFont val="Yu Gothic"/>
        <family val="0"/>
        <charset val="1"/>
      </rPr>
      <t xml:space="preserve">1. </t>
    </r>
    <r>
      <rPr>
        <sz val="10"/>
        <color rgb="FF000000"/>
        <rFont val="Noto Sans CJK SC"/>
        <family val="2"/>
      </rPr>
      <t xml:space="preserve">大阪・名古屋・福岡のいずれかを目的地にして生成する</t>
    </r>
  </si>
  <si>
    <t xml:space="preserve">乗換・駅出口が取得できる範囲で正しく、取得できない情報は推測で表示されない</t>
  </si>
  <si>
    <t xml:space="preserve">エンティティ定義 未確定事項</t>
  </si>
  <si>
    <t xml:space="preserve">ST-023</t>
  </si>
  <si>
    <t xml:space="preserve">時間帯</t>
  </si>
  <si>
    <t xml:space="preserve">終電・始発付近</t>
  </si>
  <si>
    <r>
      <rPr>
        <sz val="10"/>
        <color rgb="FF000000"/>
        <rFont val="Yu Gothic"/>
        <family val="0"/>
        <charset val="1"/>
      </rPr>
      <t xml:space="preserve">1. 0</t>
    </r>
    <r>
      <rPr>
        <sz val="10"/>
        <color rgb="FF000000"/>
        <rFont val="Noto Sans CJK SC"/>
        <family val="2"/>
      </rPr>
      <t xml:space="preserve">時半到着、</t>
    </r>
    <r>
      <rPr>
        <sz val="10"/>
        <color rgb="FF000000"/>
        <rFont val="Yu Gothic"/>
        <family val="0"/>
        <charset val="1"/>
      </rPr>
      <t xml:space="preserve">5</t>
    </r>
    <r>
      <rPr>
        <sz val="10"/>
        <color rgb="FF000000"/>
        <rFont val="Noto Sans CJK SC"/>
        <family val="2"/>
      </rPr>
      <t xml:space="preserve">時半出発となる予定でそれぞれ生成する</t>
    </r>
  </si>
  <si>
    <t xml:space="preserve">運行時間外の電車は提案されず、代替手段または注意が示される</t>
  </si>
  <si>
    <t xml:space="preserve">要件4.5.1</t>
  </si>
  <si>
    <t xml:space="preserve">ST-024</t>
  </si>
  <si>
    <t xml:space="preserve">データ</t>
  </si>
  <si>
    <t xml:space="preserve">長期利用後の動作</t>
  </si>
  <si>
    <t xml:space="preserve">計画100件・ルーティン30件・メモ20件を持つユーザー</t>
  </si>
  <si>
    <r>
      <rPr>
        <sz val="10"/>
        <color rgb="FF000000"/>
        <rFont val="Yu Gothic"/>
        <family val="0"/>
        <charset val="1"/>
      </rPr>
      <t xml:space="preserve">1. </t>
    </r>
    <r>
      <rPr>
        <sz val="10"/>
        <color rgb="FF000000"/>
        <rFont val="Noto Sans CJK SC"/>
        <family val="2"/>
      </rPr>
      <t xml:space="preserve">各画面を開き、計画を生成する</t>
    </r>
  </si>
  <si>
    <t xml:space="preserve">表示や生成が遅くならず、全件表示も崩れない</t>
  </si>
  <si>
    <t xml:space="preserve">要件2.2.4</t>
  </si>
  <si>
    <t xml:space="preserve">ST-025</t>
  </si>
  <si>
    <r>
      <rPr>
        <sz val="10"/>
        <color rgb="FF000000"/>
        <rFont val="Yu Gothic"/>
        <family val="0"/>
        <charset val="1"/>
      </rPr>
      <t xml:space="preserve">Windows</t>
    </r>
    <r>
      <rPr>
        <sz val="10"/>
        <color rgb="FF000000"/>
        <rFont val="Noto Sans CJK SC"/>
        <family val="2"/>
      </rPr>
      <t xml:space="preserve">＋</t>
    </r>
    <r>
      <rPr>
        <sz val="10"/>
        <color rgb="FF000000"/>
        <rFont val="Yu Gothic"/>
        <family val="0"/>
        <charset val="1"/>
      </rPr>
      <t xml:space="preserve">Microsoft Edge </t>
    </r>
    <r>
      <rPr>
        <sz val="10"/>
        <color rgb="FF000000"/>
        <rFont val="Noto Sans CJK SC"/>
        <family val="2"/>
      </rPr>
      <t xml:space="preserve">最新版</t>
    </r>
  </si>
  <si>
    <t xml:space="preserve">認証・オンボーディング</t>
  </si>
  <si>
    <r>
      <rPr>
        <sz val="10"/>
        <color rgb="FF000000"/>
        <rFont val="Yu Gothic"/>
        <family val="0"/>
        <charset val="1"/>
      </rPr>
      <t xml:space="preserve">Windows</t>
    </r>
    <r>
      <rPr>
        <sz val="10"/>
        <color rgb="FF000000"/>
        <rFont val="Noto Sans CJK SC"/>
        <family val="2"/>
      </rPr>
      <t xml:space="preserve">＋</t>
    </r>
    <r>
      <rPr>
        <sz val="10"/>
        <color rgb="FF000000"/>
        <rFont val="Yu Gothic"/>
        <family val="0"/>
        <charset val="1"/>
      </rPr>
      <t xml:space="preserve">Microsoft Edge </t>
    </r>
    <r>
      <rPr>
        <sz val="10"/>
        <color rgb="FF000000"/>
        <rFont val="Noto Sans CJK SC"/>
        <family val="2"/>
      </rPr>
      <t xml:space="preserve">最新版の実機（</t>
    </r>
    <r>
      <rPr>
        <sz val="10"/>
        <color rgb="FF000000"/>
        <rFont val="Yu Gothic"/>
        <family val="0"/>
        <charset val="1"/>
      </rPr>
      <t xml:space="preserve">Web</t>
    </r>
    <r>
      <rPr>
        <sz val="10"/>
        <color rgb="FF000000"/>
        <rFont val="Noto Sans CJK SC"/>
        <family val="2"/>
      </rPr>
      <t xml:space="preserve">はブラウザ）</t>
    </r>
  </si>
  <si>
    <r>
      <rPr>
        <sz val="10"/>
        <color rgb="FF000000"/>
        <rFont val="Yu Gothic"/>
        <family val="0"/>
        <charset val="1"/>
      </rPr>
      <t xml:space="preserve">1. </t>
    </r>
    <r>
      <rPr>
        <sz val="10"/>
        <color rgb="FF000000"/>
        <rFont val="Noto Sans CJK SC"/>
        <family val="2"/>
      </rPr>
      <t xml:space="preserve">サインアップからオンボーディング完了まで実施する</t>
    </r>
  </si>
  <si>
    <t xml:space="preserve">すべての画面が崩れず、操作が完了する</t>
  </si>
  <si>
    <t xml:space="preserve">要件3.1.1</t>
  </si>
  <si>
    <t xml:space="preserve">ST-026</t>
  </si>
  <si>
    <t xml:space="preserve">計画生成・結果表示</t>
  </si>
  <si>
    <r>
      <rPr>
        <sz val="10"/>
        <color rgb="FF000000"/>
        <rFont val="Yu Gothic"/>
        <family val="0"/>
        <charset val="1"/>
      </rPr>
      <t xml:space="preserve">1. </t>
    </r>
    <r>
      <rPr>
        <sz val="10"/>
        <color rgb="FF000000"/>
        <rFont val="Noto Sans CJK SC"/>
        <family val="2"/>
      </rPr>
      <t xml:space="preserve">想定パターン</t>
    </r>
    <r>
      <rPr>
        <sz val="10"/>
        <color rgb="FF000000"/>
        <rFont val="Yu Gothic"/>
        <family val="0"/>
        <charset val="1"/>
      </rPr>
      <t xml:space="preserve">1</t>
    </r>
    <r>
      <rPr>
        <sz val="10"/>
        <color rgb="FF000000"/>
        <rFont val="Noto Sans CJK SC"/>
        <family val="2"/>
      </rPr>
      <t xml:space="preserve">で生成し、地図・タイムライン・詳細展開・修正を操作する</t>
    </r>
  </si>
  <si>
    <t xml:space="preserve">地図描画（google_maps_flutter／Web版）とタイムラインが正しく表示・操作できる</t>
  </si>
  <si>
    <t xml:space="preserve">ST-027</t>
  </si>
  <si>
    <t xml:space="preserve">設定・メモ・ルーティン</t>
  </si>
  <si>
    <r>
      <rPr>
        <sz val="10"/>
        <color rgb="FF000000"/>
        <rFont val="Yu Gothic"/>
        <family val="0"/>
        <charset val="1"/>
      </rPr>
      <t xml:space="preserve">1. </t>
    </r>
    <r>
      <rPr>
        <sz val="10"/>
        <color rgb="FF000000"/>
        <rFont val="Noto Sans CJK SC"/>
        <family val="2"/>
      </rPr>
      <t xml:space="preserve">メモ・ルーティンの</t>
    </r>
    <r>
      <rPr>
        <sz val="10"/>
        <color rgb="FF000000"/>
        <rFont val="Yu Gothic"/>
        <family val="0"/>
        <charset val="1"/>
      </rPr>
      <t xml:space="preserve">CRUD</t>
    </r>
    <r>
      <rPr>
        <sz val="10"/>
        <color rgb="FF000000"/>
        <rFont val="Noto Sans CJK SC"/>
        <family val="2"/>
      </rPr>
      <t xml:space="preserve">と設定変更を行う</t>
    </r>
  </si>
  <si>
    <t xml:space="preserve">各操作が完了し、表示崩れがない</t>
  </si>
  <si>
    <t xml:space="preserve">ST-028</t>
  </si>
  <si>
    <r>
      <rPr>
        <sz val="10"/>
        <color rgb="FF000000"/>
        <rFont val="Yu Gothic"/>
        <family val="0"/>
        <charset val="1"/>
      </rPr>
      <t xml:space="preserve">Windows</t>
    </r>
    <r>
      <rPr>
        <sz val="10"/>
        <color rgb="FF000000"/>
        <rFont val="Noto Sans CJK SC"/>
        <family val="2"/>
      </rPr>
      <t xml:space="preserve">＋</t>
    </r>
    <r>
      <rPr>
        <sz val="10"/>
        <color rgb="FF000000"/>
        <rFont val="Yu Gothic"/>
        <family val="0"/>
        <charset val="1"/>
      </rPr>
      <t xml:space="preserve">Google Chrome </t>
    </r>
    <r>
      <rPr>
        <sz val="10"/>
        <color rgb="FF000000"/>
        <rFont val="Noto Sans CJK SC"/>
        <family val="2"/>
      </rPr>
      <t xml:space="preserve">最新版</t>
    </r>
  </si>
  <si>
    <r>
      <rPr>
        <sz val="10"/>
        <color rgb="FF000000"/>
        <rFont val="Yu Gothic"/>
        <family val="0"/>
        <charset val="1"/>
      </rPr>
      <t xml:space="preserve">Windows</t>
    </r>
    <r>
      <rPr>
        <sz val="10"/>
        <color rgb="FF000000"/>
        <rFont val="Noto Sans CJK SC"/>
        <family val="2"/>
      </rPr>
      <t xml:space="preserve">＋</t>
    </r>
    <r>
      <rPr>
        <sz val="10"/>
        <color rgb="FF000000"/>
        <rFont val="Yu Gothic"/>
        <family val="0"/>
        <charset val="1"/>
      </rPr>
      <t xml:space="preserve">Google Chrome </t>
    </r>
    <r>
      <rPr>
        <sz val="10"/>
        <color rgb="FF000000"/>
        <rFont val="Noto Sans CJK SC"/>
        <family val="2"/>
      </rPr>
      <t xml:space="preserve">最新版の実機（</t>
    </r>
    <r>
      <rPr>
        <sz val="10"/>
        <color rgb="FF000000"/>
        <rFont val="Yu Gothic"/>
        <family val="0"/>
        <charset val="1"/>
      </rPr>
      <t xml:space="preserve">Web</t>
    </r>
    <r>
      <rPr>
        <sz val="10"/>
        <color rgb="FF000000"/>
        <rFont val="Noto Sans CJK SC"/>
        <family val="2"/>
      </rPr>
      <t xml:space="preserve">はブラウザ）</t>
    </r>
  </si>
  <si>
    <t xml:space="preserve">ST-029</t>
  </si>
  <si>
    <t xml:space="preserve">ST-030</t>
  </si>
  <si>
    <t xml:space="preserve">ST-031</t>
  </si>
  <si>
    <t xml:space="preserve">対象外ブラウザ</t>
  </si>
  <si>
    <r>
      <rPr>
        <sz val="10"/>
        <color rgb="FF000000"/>
        <rFont val="Yu Gothic"/>
        <family val="0"/>
        <charset val="1"/>
      </rPr>
      <t xml:space="preserve">Safari</t>
    </r>
    <r>
      <rPr>
        <sz val="10"/>
        <color rgb="FF000000"/>
        <rFont val="Noto Sans CJK SC"/>
        <family val="2"/>
      </rPr>
      <t xml:space="preserve">／</t>
    </r>
    <r>
      <rPr>
        <sz val="10"/>
        <color rgb="FF000000"/>
        <rFont val="Yu Gothic"/>
        <family val="0"/>
        <charset val="1"/>
      </rPr>
      <t xml:space="preserve">Firefox</t>
    </r>
  </si>
  <si>
    <r>
      <rPr>
        <sz val="10"/>
        <color rgb="FF000000"/>
        <rFont val="Yu Gothic"/>
        <family val="0"/>
        <charset val="1"/>
      </rPr>
      <t xml:space="preserve">Mac Safari</t>
    </r>
    <r>
      <rPr>
        <sz val="10"/>
        <color rgb="FF000000"/>
        <rFont val="Noto Sans CJK SC"/>
        <family val="2"/>
      </rPr>
      <t xml:space="preserve">、</t>
    </r>
    <r>
      <rPr>
        <sz val="10"/>
        <color rgb="FF000000"/>
        <rFont val="Yu Gothic"/>
        <family val="0"/>
        <charset val="1"/>
      </rPr>
      <t xml:space="preserve">Firefox</t>
    </r>
  </si>
  <si>
    <r>
      <rPr>
        <sz val="10"/>
        <color rgb="FF000000"/>
        <rFont val="Yu Gothic"/>
        <family val="0"/>
        <charset val="1"/>
      </rPr>
      <t xml:space="preserve">1. Web</t>
    </r>
    <r>
      <rPr>
        <sz val="10"/>
        <color rgb="FF000000"/>
        <rFont val="Noto Sans CJK SC"/>
        <family val="2"/>
      </rPr>
      <t xml:space="preserve">版を開く</t>
    </r>
  </si>
  <si>
    <t xml:space="preserve">動作保証対象外であり、重大なエラーがあれば既知事項として記録する（推奨ブラウザの案内があれば表示を確認）</t>
  </si>
  <si>
    <t xml:space="preserve">ST-032</t>
  </si>
  <si>
    <t xml:space="preserve">画面サイズ</t>
  </si>
  <si>
    <r>
      <rPr>
        <sz val="10"/>
        <color rgb="FF000000"/>
        <rFont val="Yu Gothic"/>
        <family val="0"/>
        <charset val="1"/>
      </rPr>
      <t xml:space="preserve">Web</t>
    </r>
    <r>
      <rPr>
        <sz val="10"/>
        <color rgb="FF000000"/>
        <rFont val="Noto Sans CJK SC"/>
        <family val="2"/>
      </rPr>
      <t xml:space="preserve">のウィンドウ幅</t>
    </r>
  </si>
  <si>
    <t xml:space="preserve">Edge</t>
  </si>
  <si>
    <r>
      <rPr>
        <sz val="10"/>
        <color rgb="FF000000"/>
        <rFont val="Yu Gothic"/>
        <family val="0"/>
        <charset val="1"/>
      </rPr>
      <t xml:space="preserve">1. </t>
    </r>
    <r>
      <rPr>
        <sz val="10"/>
        <color rgb="FF000000"/>
        <rFont val="Noto Sans CJK SC"/>
        <family val="2"/>
      </rPr>
      <t xml:space="preserve">ウィンドウ幅を</t>
    </r>
    <r>
      <rPr>
        <sz val="10"/>
        <color rgb="FF000000"/>
        <rFont val="Yu Gothic"/>
        <family val="0"/>
        <charset val="1"/>
      </rPr>
      <t xml:space="preserve">1920px</t>
    </r>
    <r>
      <rPr>
        <sz val="10"/>
        <color rgb="FF000000"/>
        <rFont val="Noto Sans CJK SC"/>
        <family val="2"/>
      </rPr>
      <t xml:space="preserve">・</t>
    </r>
    <r>
      <rPr>
        <sz val="10"/>
        <color rgb="FF000000"/>
        <rFont val="Yu Gothic"/>
        <family val="0"/>
        <charset val="1"/>
      </rPr>
      <t xml:space="preserve">1280px</t>
    </r>
    <r>
      <rPr>
        <sz val="10"/>
        <color rgb="FF000000"/>
        <rFont val="Noto Sans CJK SC"/>
        <family val="2"/>
      </rPr>
      <t xml:space="preserve">・</t>
    </r>
    <r>
      <rPr>
        <sz val="10"/>
        <color rgb="FF000000"/>
        <rFont val="Yu Gothic"/>
        <family val="0"/>
        <charset val="1"/>
      </rPr>
      <t xml:space="preserve">800px</t>
    </r>
    <r>
      <rPr>
        <sz val="10"/>
        <color rgb="FF000000"/>
        <rFont val="Noto Sans CJK SC"/>
        <family val="2"/>
      </rPr>
      <t xml:space="preserve">に変える</t>
    </r>
  </si>
  <si>
    <t xml:space="preserve">いずれも表示が崩れず操作できる</t>
  </si>
  <si>
    <t xml:space="preserve">ST-033</t>
  </si>
  <si>
    <t xml:space="preserve">応答時間</t>
  </si>
  <si>
    <t xml:space="preserve">通常API p95 2秒以内</t>
  </si>
  <si>
    <t xml:space="preserve">検証環境、負荷ツール</t>
  </si>
  <si>
    <r>
      <rPr>
        <sz val="10"/>
        <color rgb="FF000000"/>
        <rFont val="Yu Gothic"/>
        <family val="0"/>
        <charset val="1"/>
      </rPr>
      <t xml:space="preserve">1. /api/*</t>
    </r>
    <r>
      <rPr>
        <sz val="10"/>
        <color rgb="FF000000"/>
        <rFont val="Noto Sans CJK SC"/>
        <family val="2"/>
      </rPr>
      <t xml:space="preserve">の主要</t>
    </r>
    <r>
      <rPr>
        <sz val="10"/>
        <color rgb="FF000000"/>
        <rFont val="Yu Gothic"/>
        <family val="0"/>
        <charset val="1"/>
      </rPr>
      <t xml:space="preserve">API</t>
    </r>
    <r>
      <rPr>
        <sz val="10"/>
        <color rgb="FF000000"/>
        <rFont val="Noto Sans CJK SC"/>
        <family val="2"/>
      </rPr>
      <t xml:space="preserve">を各</t>
    </r>
    <r>
      <rPr>
        <sz val="10"/>
        <color rgb="FF000000"/>
        <rFont val="Yu Gothic"/>
        <family val="0"/>
        <charset val="1"/>
      </rPr>
      <t xml:space="preserve">100</t>
    </r>
    <r>
      <rPr>
        <sz val="10"/>
        <color rgb="FF000000"/>
        <rFont val="Noto Sans CJK SC"/>
        <family val="2"/>
      </rPr>
      <t xml:space="preserve">回呼ぶ
</t>
    </r>
    <r>
      <rPr>
        <sz val="10"/>
        <color rgb="FF000000"/>
        <rFont val="Yu Gothic"/>
        <family val="0"/>
        <charset val="1"/>
      </rPr>
      <t xml:space="preserve">2. CloudWatch</t>
    </r>
    <r>
      <rPr>
        <sz val="10"/>
        <color rgb="FF000000"/>
        <rFont val="Noto Sans CJK SC"/>
        <family val="2"/>
      </rPr>
      <t xml:space="preserve">で</t>
    </r>
    <r>
      <rPr>
        <sz val="10"/>
        <color rgb="FF000000"/>
        <rFont val="Yu Gothic"/>
        <family val="0"/>
        <charset val="1"/>
      </rPr>
      <t xml:space="preserve">p95</t>
    </r>
    <r>
      <rPr>
        <sz val="10"/>
        <color rgb="FF000000"/>
        <rFont val="Noto Sans CJK SC"/>
        <family val="2"/>
      </rPr>
      <t xml:space="preserve">を確認する</t>
    </r>
  </si>
  <si>
    <r>
      <rPr>
        <sz val="10"/>
        <color rgb="FF000000"/>
        <rFont val="Yu Gothic"/>
        <family val="0"/>
        <charset val="1"/>
      </rPr>
      <t xml:space="preserve">p95</t>
    </r>
    <r>
      <rPr>
        <sz val="10"/>
        <color rgb="FF000000"/>
        <rFont val="Noto Sans CJK SC"/>
        <family val="2"/>
      </rPr>
      <t xml:space="preserve">が</t>
    </r>
    <r>
      <rPr>
        <sz val="10"/>
        <color rgb="FF000000"/>
        <rFont val="Yu Gothic"/>
        <family val="0"/>
        <charset val="1"/>
      </rPr>
      <t xml:space="preserve">2</t>
    </r>
    <r>
      <rPr>
        <sz val="10"/>
        <color rgb="FF000000"/>
        <rFont val="Noto Sans CJK SC"/>
        <family val="2"/>
      </rPr>
      <t xml:space="preserve">秒以内（目安値）</t>
    </r>
  </si>
  <si>
    <t xml:space="preserve">サーバ</t>
  </si>
  <si>
    <t xml:space="preserve">ST-034</t>
  </si>
  <si>
    <t xml:space="preserve">計画生成 p95 10秒以内</t>
  </si>
  <si>
    <t xml:space="preserve">検証環境</t>
  </si>
  <si>
    <r>
      <rPr>
        <sz val="10"/>
        <color rgb="FF000000"/>
        <rFont val="Yu Gothic"/>
        <family val="0"/>
        <charset val="1"/>
      </rPr>
      <t xml:space="preserve">1. </t>
    </r>
    <r>
      <rPr>
        <sz val="10"/>
        <color rgb="FF000000"/>
        <rFont val="Noto Sans CJK SC"/>
        <family val="2"/>
      </rPr>
      <t xml:space="preserve">想定パターン</t>
    </r>
    <r>
      <rPr>
        <sz val="10"/>
        <color rgb="FF000000"/>
        <rFont val="Yu Gothic"/>
        <family val="0"/>
        <charset val="1"/>
      </rPr>
      <t xml:space="preserve">3</t>
    </r>
    <r>
      <rPr>
        <sz val="10"/>
        <color rgb="FF000000"/>
        <rFont val="Noto Sans CJK SC"/>
        <family val="2"/>
      </rPr>
      <t xml:space="preserve">種を含む</t>
    </r>
    <r>
      <rPr>
        <sz val="10"/>
        <color rgb="FF000000"/>
        <rFont val="Yu Gothic"/>
        <family val="0"/>
        <charset val="1"/>
      </rPr>
      <t xml:space="preserve">30</t>
    </r>
    <r>
      <rPr>
        <sz val="10"/>
        <color rgb="FF000000"/>
        <rFont val="Noto Sans CJK SC"/>
        <family val="2"/>
      </rPr>
      <t xml:space="preserve">回の計画生成を行う</t>
    </r>
  </si>
  <si>
    <r>
      <rPr>
        <sz val="10"/>
        <color rgb="FF000000"/>
        <rFont val="Yu Gothic"/>
        <family val="0"/>
        <charset val="1"/>
      </rPr>
      <t xml:space="preserve">p95</t>
    </r>
    <r>
      <rPr>
        <sz val="10"/>
        <color rgb="FF000000"/>
        <rFont val="Noto Sans CJK SC"/>
        <family val="2"/>
      </rPr>
      <t xml:space="preserve">が</t>
    </r>
    <r>
      <rPr>
        <sz val="10"/>
        <color rgb="FF000000"/>
        <rFont val="Yu Gothic"/>
        <family val="0"/>
        <charset val="1"/>
      </rPr>
      <t xml:space="preserve">10</t>
    </r>
    <r>
      <rPr>
        <sz val="10"/>
        <color rgb="FF000000"/>
        <rFont val="Noto Sans CJK SC"/>
        <family val="2"/>
      </rPr>
      <t xml:space="preserve">秒以内（目安値）</t>
    </r>
  </si>
  <si>
    <t xml:space="preserve">ST-035</t>
  </si>
  <si>
    <t xml:space="preserve">確認質問・修正の応答</t>
  </si>
  <si>
    <r>
      <rPr>
        <sz val="10"/>
        <color rgb="FF000000"/>
        <rFont val="Yu Gothic"/>
        <family val="0"/>
        <charset val="1"/>
      </rPr>
      <t xml:space="preserve">1. clarify</t>
    </r>
    <r>
      <rPr>
        <sz val="10"/>
        <color rgb="FF000000"/>
        <rFont val="Noto Sans CJK SC"/>
        <family val="2"/>
      </rPr>
      <t xml:space="preserve">・</t>
    </r>
    <r>
      <rPr>
        <sz val="10"/>
        <color rgb="FF000000"/>
        <rFont val="Yu Gothic"/>
        <family val="0"/>
        <charset val="1"/>
      </rPr>
      <t xml:space="preserve">revise</t>
    </r>
    <r>
      <rPr>
        <sz val="10"/>
        <color rgb="FF000000"/>
        <rFont val="Noto Sans CJK SC"/>
        <family val="2"/>
      </rPr>
      <t xml:space="preserve">を各</t>
    </r>
    <r>
      <rPr>
        <sz val="10"/>
        <color rgb="FF000000"/>
        <rFont val="Yu Gothic"/>
        <family val="0"/>
        <charset val="1"/>
      </rPr>
      <t xml:space="preserve">20</t>
    </r>
    <r>
      <rPr>
        <sz val="10"/>
        <color rgb="FF000000"/>
        <rFont val="Noto Sans CJK SC"/>
        <family val="2"/>
      </rPr>
      <t xml:space="preserve">回呼ぶ</t>
    </r>
  </si>
  <si>
    <t xml:space="preserve">計画生成と同等の時間内に応答する</t>
  </si>
  <si>
    <t xml:space="preserve">ST-036</t>
  </si>
  <si>
    <t xml:space="preserve">地図初期表示3秒以内</t>
  </si>
  <si>
    <t xml:space="preserve">良好なネットワーク（Wi-Fi）</t>
  </si>
  <si>
    <r>
      <rPr>
        <sz val="10"/>
        <color rgb="FF000000"/>
        <rFont val="Yu Gothic"/>
        <family val="0"/>
        <charset val="1"/>
      </rPr>
      <t xml:space="preserve">1. </t>
    </r>
    <r>
      <rPr>
        <sz val="10"/>
        <color rgb="FF000000"/>
        <rFont val="Noto Sans CJK SC"/>
        <family val="2"/>
      </rPr>
      <t xml:space="preserve">結果画面を開くまでの時間を各プラットフォームで</t>
    </r>
    <r>
      <rPr>
        <sz val="10"/>
        <color rgb="FF000000"/>
        <rFont val="Yu Gothic"/>
        <family val="0"/>
        <charset val="1"/>
      </rPr>
      <t xml:space="preserve">5</t>
    </r>
    <r>
      <rPr>
        <sz val="10"/>
        <color rgb="FF000000"/>
        <rFont val="Noto Sans CJK SC"/>
        <family val="2"/>
      </rPr>
      <t xml:space="preserve">回計測する</t>
    </r>
  </si>
  <si>
    <r>
      <rPr>
        <sz val="10"/>
        <color rgb="FF000000"/>
        <rFont val="Yu Gothic"/>
        <family val="0"/>
        <charset val="1"/>
      </rPr>
      <t xml:space="preserve">3</t>
    </r>
    <r>
      <rPr>
        <sz val="10"/>
        <color rgb="FF000000"/>
        <rFont val="Noto Sans CJK SC"/>
        <family val="2"/>
      </rPr>
      <t xml:space="preserve">秒以内（目安値）</t>
    </r>
  </si>
  <si>
    <t xml:space="preserve">ST-037</t>
  </si>
  <si>
    <t xml:space="preserve">負荷</t>
  </si>
  <si>
    <t xml:space="preserve">同時数十ユーザー</t>
  </si>
  <si>
    <t xml:space="preserve">検証環境、負荷ツールで50ユーザー相当</t>
  </si>
  <si>
    <r>
      <rPr>
        <sz val="10"/>
        <color rgb="FF000000"/>
        <rFont val="Yu Gothic"/>
        <family val="0"/>
        <charset val="1"/>
      </rPr>
      <t xml:space="preserve">1. 50</t>
    </r>
    <r>
      <rPr>
        <sz val="10"/>
        <color rgb="FF000000"/>
        <rFont val="Noto Sans CJK SC"/>
        <family val="2"/>
      </rPr>
      <t xml:space="preserve">ユーザーが通常</t>
    </r>
    <r>
      <rPr>
        <sz val="10"/>
        <color rgb="FF000000"/>
        <rFont val="Yu Gothic"/>
        <family val="0"/>
        <charset val="1"/>
      </rPr>
      <t xml:space="preserve">API</t>
    </r>
    <r>
      <rPr>
        <sz val="10"/>
        <color rgb="FF000000"/>
        <rFont val="Noto Sans CJK SC"/>
        <family val="2"/>
      </rPr>
      <t xml:space="preserve">と計画生成を混在させて</t>
    </r>
    <r>
      <rPr>
        <sz val="10"/>
        <color rgb="FF000000"/>
        <rFont val="Yu Gothic"/>
        <family val="0"/>
        <charset val="1"/>
      </rPr>
      <t xml:space="preserve">30</t>
    </r>
    <r>
      <rPr>
        <sz val="10"/>
        <color rgb="FF000000"/>
        <rFont val="Noto Sans CJK SC"/>
        <family val="2"/>
      </rPr>
      <t xml:space="preserve">分実行する</t>
    </r>
  </si>
  <si>
    <t xml:space="preserve">エラー率1%未満、応答時間目標を大きく超えない</t>
  </si>
  <si>
    <t xml:space="preserve">ST-038</t>
  </si>
  <si>
    <t xml:space="preserve">Auto Scaling</t>
  </si>
  <si>
    <r>
      <rPr>
        <sz val="10"/>
        <color rgb="FF000000"/>
        <rFont val="Yu Gothic"/>
        <family val="0"/>
        <charset val="1"/>
      </rPr>
      <t xml:space="preserve">1. CPU</t>
    </r>
    <r>
      <rPr>
        <sz val="10"/>
        <color rgb="FF000000"/>
        <rFont val="Noto Sans CJK SC"/>
        <family val="2"/>
      </rPr>
      <t xml:space="preserve">負荷を高める負荷をかける</t>
    </r>
  </si>
  <si>
    <r>
      <rPr>
        <sz val="10"/>
        <color rgb="FF000000"/>
        <rFont val="Yu Gothic"/>
        <family val="0"/>
        <charset val="1"/>
      </rPr>
      <t xml:space="preserve">ECS</t>
    </r>
    <r>
      <rPr>
        <sz val="10"/>
        <color rgb="FF000000"/>
        <rFont val="Noto Sans CJK SC"/>
        <family val="2"/>
      </rPr>
      <t xml:space="preserve">タスクが自動で増え、負荷終了後に減る</t>
    </r>
  </si>
  <si>
    <t xml:space="preserve">ST-039</t>
  </si>
  <si>
    <r>
      <rPr>
        <sz val="10"/>
        <color rgb="FF000000"/>
        <rFont val="Yu Gothic"/>
        <family val="0"/>
        <charset val="1"/>
      </rPr>
      <t xml:space="preserve">Aurora Serverless v2</t>
    </r>
    <r>
      <rPr>
        <sz val="10"/>
        <color rgb="FF000000"/>
        <rFont val="Noto Sans CJK SC"/>
        <family val="2"/>
      </rPr>
      <t xml:space="preserve">のスケール</t>
    </r>
  </si>
  <si>
    <r>
      <rPr>
        <sz val="10"/>
        <color rgb="FF000000"/>
        <rFont val="Yu Gothic"/>
        <family val="0"/>
        <charset val="1"/>
      </rPr>
      <t xml:space="preserve">1. DB</t>
    </r>
    <r>
      <rPr>
        <sz val="10"/>
        <color rgb="FF000000"/>
        <rFont val="Noto Sans CJK SC"/>
        <family val="2"/>
      </rPr>
      <t xml:space="preserve">負荷を高める</t>
    </r>
  </si>
  <si>
    <r>
      <rPr>
        <sz val="10"/>
        <color rgb="FF000000"/>
        <rFont val="Yu Gothic"/>
        <family val="0"/>
        <charset val="1"/>
      </rPr>
      <t xml:space="preserve">ACU</t>
    </r>
    <r>
      <rPr>
        <sz val="10"/>
        <color rgb="FF000000"/>
        <rFont val="Noto Sans CJK SC"/>
        <family val="2"/>
      </rPr>
      <t xml:space="preserve">が自動で増減し、接続エラーが出ない</t>
    </r>
  </si>
  <si>
    <t xml:space="preserve">要件4.2.2</t>
  </si>
  <si>
    <t xml:space="preserve">ST-040</t>
  </si>
  <si>
    <r>
      <rPr>
        <sz val="10"/>
        <color rgb="FF000000"/>
        <rFont val="Yu Gothic"/>
        <family val="0"/>
        <charset val="1"/>
      </rPr>
      <t xml:space="preserve">Aurora</t>
    </r>
    <r>
      <rPr>
        <sz val="10"/>
        <color rgb="FF000000"/>
        <rFont val="Noto Sans CJK SC"/>
        <family val="2"/>
      </rPr>
      <t xml:space="preserve">自動停止からの復帰</t>
    </r>
  </si>
  <si>
    <t xml:space="preserve">開発環境（Auto Pause有効）</t>
  </si>
  <si>
    <r>
      <rPr>
        <sz val="10"/>
        <color rgb="FF000000"/>
        <rFont val="Yu Gothic"/>
        <family val="0"/>
        <charset val="1"/>
      </rPr>
      <t xml:space="preserve">1. </t>
    </r>
    <r>
      <rPr>
        <sz val="10"/>
        <color rgb="FF000000"/>
        <rFont val="Noto Sans CJK SC"/>
        <family val="2"/>
      </rPr>
      <t xml:space="preserve">停止状態で</t>
    </r>
    <r>
      <rPr>
        <sz val="10"/>
        <color rgb="FF000000"/>
        <rFont val="Yu Gothic"/>
        <family val="0"/>
        <charset val="1"/>
      </rPr>
      <t xml:space="preserve">API</t>
    </r>
    <r>
      <rPr>
        <sz val="10"/>
        <color rgb="FF000000"/>
        <rFont val="Noto Sans CJK SC"/>
        <family val="2"/>
      </rPr>
      <t xml:space="preserve">を呼ぶ</t>
    </r>
  </si>
  <si>
    <t xml:space="preserve">復帰までの時間内にタイムアウトしない、または再試行で成功する</t>
  </si>
  <si>
    <t xml:space="preserve">見積書7.3</t>
  </si>
  <si>
    <t xml:space="preserve">ST-041</t>
  </si>
  <si>
    <t xml:space="preserve">クライアントタイムアウト</t>
  </si>
  <si>
    <t xml:space="preserve">サーバー応答を遅延させる</t>
  </si>
  <si>
    <r>
      <rPr>
        <sz val="10"/>
        <color rgb="FF000000"/>
        <rFont val="Yu Gothic"/>
        <family val="0"/>
        <charset val="1"/>
      </rPr>
      <t xml:space="preserve">1. </t>
    </r>
    <r>
      <rPr>
        <sz val="10"/>
        <color rgb="FF000000"/>
        <rFont val="Noto Sans CJK SC"/>
        <family val="2"/>
      </rPr>
      <t xml:space="preserve">計画を生成する</t>
    </r>
  </si>
  <si>
    <r>
      <rPr>
        <sz val="10"/>
        <color rgb="FF000000"/>
        <rFont val="Yu Gothic"/>
        <family val="0"/>
        <charset val="1"/>
      </rPr>
      <t xml:space="preserve">15</t>
    </r>
    <r>
      <rPr>
        <sz val="10"/>
        <color rgb="FF000000"/>
        <rFont val="Noto Sans CJK SC"/>
        <family val="2"/>
      </rPr>
      <t xml:space="preserve">秒で打ち切られ、再試行で回復できる</t>
    </r>
  </si>
  <si>
    <t xml:space="preserve">ST-042</t>
  </si>
  <si>
    <t xml:space="preserve">耐久</t>
  </si>
  <si>
    <t xml:space="preserve">長時間稼働</t>
  </si>
  <si>
    <r>
      <rPr>
        <sz val="10"/>
        <color rgb="FF000000"/>
        <rFont val="Yu Gothic"/>
        <family val="0"/>
        <charset val="1"/>
      </rPr>
      <t xml:space="preserve">1. 8</t>
    </r>
    <r>
      <rPr>
        <sz val="10"/>
        <color rgb="FF000000"/>
        <rFont val="Noto Sans CJK SC"/>
        <family val="2"/>
      </rPr>
      <t xml:space="preserve">時間、低負荷を継続する</t>
    </r>
  </si>
  <si>
    <t xml:space="preserve">メモリ使用率が増え続けず、応答時間も悪化しない</t>
  </si>
  <si>
    <t xml:space="preserve">ST-043</t>
  </si>
  <si>
    <r>
      <rPr>
        <sz val="10"/>
        <color rgb="FF000000"/>
        <rFont val="Yu Gothic"/>
        <family val="0"/>
        <charset val="1"/>
      </rPr>
      <t xml:space="preserve">Bedrock</t>
    </r>
    <r>
      <rPr>
        <sz val="10"/>
        <color rgb="FF000000"/>
        <rFont val="Noto Sans CJK SC"/>
        <family val="2"/>
      </rPr>
      <t xml:space="preserve">のスロットリング</t>
    </r>
  </si>
  <si>
    <r>
      <rPr>
        <sz val="10"/>
        <color rgb="FF000000"/>
        <rFont val="Yu Gothic"/>
        <family val="0"/>
        <charset val="1"/>
      </rPr>
      <t xml:space="preserve">1. </t>
    </r>
    <r>
      <rPr>
        <sz val="10"/>
        <color rgb="FF000000"/>
        <rFont val="Noto Sans CJK SC"/>
        <family val="2"/>
      </rPr>
      <t xml:space="preserve">短時間に計画生成を集中させる</t>
    </r>
  </si>
  <si>
    <t xml:space="preserve">スロットリング時もリトライ制御で破綻せず、失敗時は分かりやすいエラーとなる</t>
  </si>
  <si>
    <t xml:space="preserve">要件4.3.2</t>
  </si>
  <si>
    <t xml:space="preserve">ST-044</t>
  </si>
  <si>
    <t xml:space="preserve">ECS</t>
  </si>
  <si>
    <t xml:space="preserve">タスク異常終了からの復旧</t>
  </si>
  <si>
    <t xml:space="preserve">検証環境、タスク2本</t>
  </si>
  <si>
    <r>
      <rPr>
        <sz val="10"/>
        <color rgb="FF000000"/>
        <rFont val="Yu Gothic"/>
        <family val="0"/>
        <charset val="1"/>
      </rPr>
      <t xml:space="preserve">1. 1</t>
    </r>
    <r>
      <rPr>
        <sz val="10"/>
        <color rgb="FF000000"/>
        <rFont val="Noto Sans CJK SC"/>
        <family val="2"/>
      </rPr>
      <t xml:space="preserve">タスクを強制停止する
</t>
    </r>
    <r>
      <rPr>
        <sz val="10"/>
        <color rgb="FF000000"/>
        <rFont val="Yu Gothic"/>
        <family val="0"/>
        <charset val="1"/>
      </rPr>
      <t xml:space="preserve">2. </t>
    </r>
    <r>
      <rPr>
        <sz val="10"/>
        <color rgb="FF000000"/>
        <rFont val="Noto Sans CJK SC"/>
        <family val="2"/>
      </rPr>
      <t xml:space="preserve">停止中も</t>
    </r>
    <r>
      <rPr>
        <sz val="10"/>
        <color rgb="FF000000"/>
        <rFont val="Yu Gothic"/>
        <family val="0"/>
        <charset val="1"/>
      </rPr>
      <t xml:space="preserve">API</t>
    </r>
    <r>
      <rPr>
        <sz val="10"/>
        <color rgb="FF000000"/>
        <rFont val="Noto Sans CJK SC"/>
        <family val="2"/>
      </rPr>
      <t xml:space="preserve">を呼び続ける</t>
    </r>
  </si>
  <si>
    <t xml:space="preserve">残りのタスクで応答が継続し、新しいタスクが自動起動する</t>
  </si>
  <si>
    <t xml:space="preserve">要件4.2／4.5</t>
  </si>
  <si>
    <t xml:space="preserve">ST-045</t>
  </si>
  <si>
    <t xml:space="preserve">ヘルスチェック失敗時の入替</t>
  </si>
  <si>
    <r>
      <rPr>
        <sz val="10"/>
        <color rgb="FF000000"/>
        <rFont val="Yu Gothic"/>
        <family val="0"/>
        <charset val="1"/>
      </rPr>
      <t xml:space="preserve">1. </t>
    </r>
    <r>
      <rPr>
        <sz val="10"/>
        <color rgb="FF000000"/>
        <rFont val="Noto Sans CJK SC"/>
        <family val="2"/>
      </rPr>
      <t xml:space="preserve">ヘルスチェックを失敗させる設定のタスクを用意する</t>
    </r>
  </si>
  <si>
    <t xml:space="preserve">異常タスクがALBから外れ、自動で入れ替わる</t>
  </si>
  <si>
    <t xml:space="preserve">ST-046</t>
  </si>
  <si>
    <t xml:space="preserve">Aurora</t>
  </si>
  <si>
    <t xml:space="preserve">フェイルオーバー</t>
  </si>
  <si>
    <t xml:space="preserve">検証環境（Multi-AZ）</t>
  </si>
  <si>
    <r>
      <rPr>
        <sz val="10"/>
        <color rgb="FF000000"/>
        <rFont val="Yu Gothic"/>
        <family val="0"/>
        <charset val="1"/>
      </rPr>
      <t xml:space="preserve">1. </t>
    </r>
    <r>
      <rPr>
        <sz val="10"/>
        <color rgb="FF000000"/>
        <rFont val="Noto Sans CJK SC"/>
        <family val="2"/>
      </rPr>
      <t xml:space="preserve">フェイルオーバーを手動実行する
</t>
    </r>
    <r>
      <rPr>
        <sz val="10"/>
        <color rgb="FF000000"/>
        <rFont val="Yu Gothic"/>
        <family val="0"/>
        <charset val="1"/>
      </rPr>
      <t xml:space="preserve">2. </t>
    </r>
    <r>
      <rPr>
        <sz val="10"/>
        <color rgb="FF000000"/>
        <rFont val="Noto Sans CJK SC"/>
        <family val="2"/>
      </rPr>
      <t xml:space="preserve">実行中・実行後に</t>
    </r>
    <r>
      <rPr>
        <sz val="10"/>
        <color rgb="FF000000"/>
        <rFont val="Yu Gothic"/>
        <family val="0"/>
        <charset val="1"/>
      </rPr>
      <t xml:space="preserve">API</t>
    </r>
    <r>
      <rPr>
        <sz val="10"/>
        <color rgb="FF000000"/>
        <rFont val="Noto Sans CJK SC"/>
        <family val="2"/>
      </rPr>
      <t xml:space="preserve">を呼ぶ</t>
    </r>
  </si>
  <si>
    <t xml:space="preserve">数十秒程度で接続が回復し、アプリの再起動なしで復帰する</t>
  </si>
  <si>
    <t xml:space="preserve">ST-047</t>
  </si>
  <si>
    <t xml:space="preserve">デプロイ</t>
  </si>
  <si>
    <t xml:space="preserve">デプロイ中の無停止</t>
  </si>
  <si>
    <r>
      <rPr>
        <sz val="10"/>
        <color rgb="FF000000"/>
        <rFont val="Yu Gothic"/>
        <family val="0"/>
        <charset val="1"/>
      </rPr>
      <t xml:space="preserve">1. API</t>
    </r>
    <r>
      <rPr>
        <sz val="10"/>
        <color rgb="FF000000"/>
        <rFont val="Noto Sans CJK SC"/>
        <family val="2"/>
      </rPr>
      <t xml:space="preserve">を呼び続けながら新バージョンをデプロイする</t>
    </r>
  </si>
  <si>
    <t xml:space="preserve">デプロイ中もエラーにならない（ローリング／Blue-Green）</t>
  </si>
  <si>
    <t xml:space="preserve">ST-048</t>
  </si>
  <si>
    <t xml:space="preserve">外部障害</t>
  </si>
  <si>
    <r>
      <rPr>
        <sz val="10"/>
        <color rgb="FF000000"/>
        <rFont val="Yu Gothic"/>
        <family val="0"/>
        <charset val="1"/>
      </rPr>
      <t xml:space="preserve">Google Maps</t>
    </r>
    <r>
      <rPr>
        <sz val="10"/>
        <color rgb="FF000000"/>
        <rFont val="Noto Sans CJK SC"/>
        <family val="2"/>
      </rPr>
      <t xml:space="preserve">障害</t>
    </r>
  </si>
  <si>
    <r>
      <rPr>
        <sz val="10"/>
        <color rgb="FF000000"/>
        <rFont val="Yu Gothic"/>
        <family val="0"/>
        <charset val="1"/>
      </rPr>
      <t xml:space="preserve">Maps API</t>
    </r>
    <r>
      <rPr>
        <sz val="10"/>
        <color rgb="FF000000"/>
        <rFont val="Noto Sans CJK SC"/>
        <family val="2"/>
      </rPr>
      <t xml:space="preserve">を遮断</t>
    </r>
  </si>
  <si>
    <r>
      <rPr>
        <sz val="10"/>
        <color rgb="FF000000"/>
        <rFont val="Yu Gothic"/>
        <family val="0"/>
        <charset val="1"/>
      </rPr>
      <t xml:space="preserve">1. </t>
    </r>
    <r>
      <rPr>
        <sz val="10"/>
        <color rgb="FF000000"/>
        <rFont val="Noto Sans CJK SC"/>
        <family val="2"/>
      </rPr>
      <t xml:space="preserve">アプリを利用する</t>
    </r>
  </si>
  <si>
    <t xml:space="preserve">地図・経路が使えない旨が表示され、メモ・ルーティン等は利用できる</t>
  </si>
  <si>
    <t xml:space="preserve">要件4.3</t>
  </si>
  <si>
    <t xml:space="preserve">ST-049</t>
  </si>
  <si>
    <t xml:space="preserve">乗換案内API障害</t>
  </si>
  <si>
    <t xml:space="preserve">乗換APIを遮断</t>
  </si>
  <si>
    <t xml:space="preserve">推測の経路を出さず、代替手段か利用不可の旨が示される</t>
  </si>
  <si>
    <t xml:space="preserve">ST-050</t>
  </si>
  <si>
    <r>
      <rPr>
        <sz val="10"/>
        <color rgb="FF000000"/>
        <rFont val="Yu Gothic"/>
        <family val="0"/>
        <charset val="1"/>
      </rPr>
      <t xml:space="preserve">Bedrock</t>
    </r>
    <r>
      <rPr>
        <sz val="10"/>
        <color rgb="FF000000"/>
        <rFont val="Noto Sans CJK SC"/>
        <family val="2"/>
      </rPr>
      <t xml:space="preserve">障害</t>
    </r>
  </si>
  <si>
    <r>
      <rPr>
        <sz val="10"/>
        <color rgb="FF000000"/>
        <rFont val="Yu Gothic"/>
        <family val="0"/>
        <charset val="1"/>
      </rPr>
      <t xml:space="preserve">Bedrock</t>
    </r>
    <r>
      <rPr>
        <sz val="10"/>
        <color rgb="FF000000"/>
        <rFont val="Noto Sans CJK SC"/>
        <family val="2"/>
      </rPr>
      <t xml:space="preserve">を遮断</t>
    </r>
  </si>
  <si>
    <t xml:space="preserve">計画生成のみ利用不可となり、他機能は動作する</t>
  </si>
  <si>
    <t xml:space="preserve">ST-051</t>
  </si>
  <si>
    <t xml:space="preserve">カレンダーAPI障害</t>
  </si>
  <si>
    <t xml:space="preserve">カレンダーAPIを遮断</t>
  </si>
  <si>
    <t xml:space="preserve">予定なしで計画が生成され、取得できなかった旨が分かる</t>
  </si>
  <si>
    <t xml:space="preserve">ST-052</t>
  </si>
  <si>
    <r>
      <rPr>
        <sz val="10"/>
        <color rgb="FF000000"/>
        <rFont val="Yu Gothic"/>
        <family val="0"/>
        <charset val="1"/>
      </rPr>
      <t xml:space="preserve">Cognito</t>
    </r>
    <r>
      <rPr>
        <sz val="10"/>
        <color rgb="FF000000"/>
        <rFont val="Noto Sans CJK SC"/>
        <family val="2"/>
      </rPr>
      <t xml:space="preserve">障害時</t>
    </r>
  </si>
  <si>
    <r>
      <rPr>
        <sz val="10"/>
        <color rgb="FF000000"/>
        <rFont val="Yu Gothic"/>
        <family val="0"/>
        <charset val="1"/>
      </rPr>
      <t xml:space="preserve">Cognito</t>
    </r>
    <r>
      <rPr>
        <sz val="10"/>
        <color rgb="FF000000"/>
        <rFont val="Noto Sans CJK SC"/>
        <family val="2"/>
      </rPr>
      <t xml:space="preserve">への到達を遮断</t>
    </r>
  </si>
  <si>
    <r>
      <rPr>
        <sz val="10"/>
        <color rgb="FF000000"/>
        <rFont val="Yu Gothic"/>
        <family val="0"/>
        <charset val="1"/>
      </rPr>
      <t xml:space="preserve">1. </t>
    </r>
    <r>
      <rPr>
        <sz val="10"/>
        <color rgb="FF000000"/>
        <rFont val="Noto Sans CJK SC"/>
        <family val="2"/>
      </rPr>
      <t xml:space="preserve">サインインを試す</t>
    </r>
  </si>
  <si>
    <t xml:space="preserve">分かりやすいエラーとなり、アプリが異常終了しない</t>
  </si>
  <si>
    <t xml:space="preserve">ST-053</t>
  </si>
  <si>
    <t xml:space="preserve">運用時間</t>
  </si>
  <si>
    <t xml:space="preserve">サービス提供時間帯</t>
  </si>
  <si>
    <r>
      <rPr>
        <sz val="10"/>
        <color rgb="FF000000"/>
        <rFont val="Yu Gothic"/>
        <family val="0"/>
        <charset val="1"/>
      </rPr>
      <t xml:space="preserve">1. 5:00</t>
    </r>
    <r>
      <rPr>
        <sz val="10"/>
        <color rgb="FF000000"/>
        <rFont val="Noto Sans CJK SC"/>
        <family val="2"/>
      </rPr>
      <t xml:space="preserve">〜</t>
    </r>
    <r>
      <rPr>
        <sz val="10"/>
        <color rgb="FF000000"/>
        <rFont val="Yu Gothic"/>
        <family val="0"/>
        <charset val="1"/>
      </rPr>
      <t xml:space="preserve">1:00</t>
    </r>
    <r>
      <rPr>
        <sz val="10"/>
        <color rgb="FF000000"/>
        <rFont val="Noto Sans CJK SC"/>
        <family val="2"/>
      </rPr>
      <t xml:space="preserve">の運用とメンテナンス時間（</t>
    </r>
    <r>
      <rPr>
        <sz val="10"/>
        <color rgb="FF000000"/>
        <rFont val="Yu Gothic"/>
        <family val="0"/>
        <charset val="1"/>
      </rPr>
      <t xml:space="preserve">1:00</t>
    </r>
    <r>
      <rPr>
        <sz val="10"/>
        <color rgb="FF000000"/>
        <rFont val="Noto Sans CJK SC"/>
        <family val="2"/>
      </rPr>
      <t xml:space="preserve">〜</t>
    </r>
    <r>
      <rPr>
        <sz val="10"/>
        <color rgb="FF000000"/>
        <rFont val="Yu Gothic"/>
        <family val="0"/>
        <charset val="1"/>
      </rPr>
      <t xml:space="preserve">5:00</t>
    </r>
    <r>
      <rPr>
        <sz val="10"/>
        <color rgb="FF000000"/>
        <rFont val="Noto Sans CJK SC"/>
        <family val="2"/>
      </rPr>
      <t xml:space="preserve">）の運用手順を確認する</t>
    </r>
  </si>
  <si>
    <t xml:space="preserve">メンテナンス作業が提供時間外で完了する手順になっている</t>
  </si>
  <si>
    <t xml:space="preserve">ST-054</t>
  </si>
  <si>
    <t xml:space="preserve">通信</t>
  </si>
  <si>
    <r>
      <rPr>
        <sz val="10"/>
        <color rgb="FF000000"/>
        <rFont val="Yu Gothic"/>
        <family val="0"/>
        <charset val="1"/>
      </rPr>
      <t xml:space="preserve">TLS1.2</t>
    </r>
    <r>
      <rPr>
        <sz val="10"/>
        <color rgb="FF000000"/>
        <rFont val="Noto Sans CJK SC"/>
        <family val="2"/>
      </rPr>
      <t xml:space="preserve">未満の拒否</t>
    </r>
  </si>
  <si>
    <r>
      <rPr>
        <sz val="10"/>
        <color rgb="FF000000"/>
        <rFont val="Yu Gothic"/>
        <family val="0"/>
        <charset val="1"/>
      </rPr>
      <t xml:space="preserve">1. TLS1.0</t>
    </r>
    <r>
      <rPr>
        <sz val="10"/>
        <color rgb="FF000000"/>
        <rFont val="Noto Sans CJK SC"/>
        <family val="2"/>
      </rPr>
      <t xml:space="preserve">／</t>
    </r>
    <r>
      <rPr>
        <sz val="10"/>
        <color rgb="FF000000"/>
        <rFont val="Yu Gothic"/>
        <family val="0"/>
        <charset val="1"/>
      </rPr>
      <t xml:space="preserve">1.1</t>
    </r>
    <r>
      <rPr>
        <sz val="10"/>
        <color rgb="FF000000"/>
        <rFont val="Noto Sans CJK SC"/>
        <family val="2"/>
      </rPr>
      <t xml:space="preserve">で</t>
    </r>
    <r>
      <rPr>
        <sz val="10"/>
        <color rgb="FF000000"/>
        <rFont val="Yu Gothic"/>
        <family val="0"/>
        <charset val="1"/>
      </rPr>
      <t xml:space="preserve">ALB</t>
    </r>
    <r>
      <rPr>
        <sz val="10"/>
        <color rgb="FF000000"/>
        <rFont val="Noto Sans CJK SC"/>
        <family val="2"/>
      </rPr>
      <t xml:space="preserve">・</t>
    </r>
    <r>
      <rPr>
        <sz val="10"/>
        <color rgb="FF000000"/>
        <rFont val="Yu Gothic"/>
        <family val="0"/>
        <charset val="1"/>
      </rPr>
      <t xml:space="preserve">CloudFront</t>
    </r>
    <r>
      <rPr>
        <sz val="10"/>
        <color rgb="FF000000"/>
        <rFont val="Noto Sans CJK SC"/>
        <family val="2"/>
      </rPr>
      <t xml:space="preserve">に接続する</t>
    </r>
  </si>
  <si>
    <t xml:space="preserve">接続が拒否される</t>
  </si>
  <si>
    <t xml:space="preserve">要件3.3.1／4.2.1</t>
  </si>
  <si>
    <t xml:space="preserve">ST-055</t>
  </si>
  <si>
    <r>
      <rPr>
        <sz val="10"/>
        <color rgb="FF000000"/>
        <rFont val="Yu Gothic"/>
        <family val="0"/>
        <charset val="1"/>
      </rPr>
      <t xml:space="preserve">HTTP</t>
    </r>
    <r>
      <rPr>
        <sz val="10"/>
        <color rgb="FF000000"/>
        <rFont val="Noto Sans CJK SC"/>
        <family val="2"/>
      </rPr>
      <t xml:space="preserve">のリダイレクト</t>
    </r>
  </si>
  <si>
    <r>
      <rPr>
        <sz val="10"/>
        <color rgb="FF000000"/>
        <rFont val="Yu Gothic"/>
        <family val="0"/>
        <charset val="1"/>
      </rPr>
      <t xml:space="preserve">1. http://</t>
    </r>
    <r>
      <rPr>
        <sz val="10"/>
        <color rgb="FF000000"/>
        <rFont val="Noto Sans CJK SC"/>
        <family val="2"/>
      </rPr>
      <t xml:space="preserve">で</t>
    </r>
    <r>
      <rPr>
        <sz val="10"/>
        <color rgb="FF000000"/>
        <rFont val="Yu Gothic"/>
        <family val="0"/>
        <charset val="1"/>
      </rPr>
      <t xml:space="preserve">Web</t>
    </r>
    <r>
      <rPr>
        <sz val="10"/>
        <color rgb="FF000000"/>
        <rFont val="Noto Sans CJK SC"/>
        <family val="2"/>
      </rPr>
      <t xml:space="preserve">版・</t>
    </r>
    <r>
      <rPr>
        <sz val="10"/>
        <color rgb="FF000000"/>
        <rFont val="Yu Gothic"/>
        <family val="0"/>
        <charset val="1"/>
      </rPr>
      <t xml:space="preserve">API</t>
    </r>
    <r>
      <rPr>
        <sz val="10"/>
        <color rgb="FF000000"/>
        <rFont val="Noto Sans CJK SC"/>
        <family val="2"/>
      </rPr>
      <t xml:space="preserve">にアクセスする</t>
    </r>
  </si>
  <si>
    <r>
      <rPr>
        <sz val="10"/>
        <color rgb="FF000000"/>
        <rFont val="Yu Gothic"/>
        <family val="0"/>
        <charset val="1"/>
      </rPr>
      <t xml:space="preserve">HTTPS</t>
    </r>
    <r>
      <rPr>
        <sz val="10"/>
        <color rgb="FF000000"/>
        <rFont val="Noto Sans CJK SC"/>
        <family val="2"/>
      </rPr>
      <t xml:space="preserve">へリダイレクトされる、または拒否される</t>
    </r>
  </si>
  <si>
    <t xml:space="preserve">ST-056</t>
  </si>
  <si>
    <t xml:space="preserve">ネットワーク</t>
  </si>
  <si>
    <t xml:space="preserve">セキュリティグループ</t>
  </si>
  <si>
    <r>
      <rPr>
        <sz val="10"/>
        <color rgb="FF000000"/>
        <rFont val="Yu Gothic"/>
        <family val="0"/>
        <charset val="1"/>
      </rPr>
      <t xml:space="preserve">1. ALB</t>
    </r>
    <r>
      <rPr>
        <sz val="10"/>
        <color rgb="FF000000"/>
        <rFont val="Noto Sans CJK SC"/>
        <family val="2"/>
      </rPr>
      <t xml:space="preserve">・</t>
    </r>
    <r>
      <rPr>
        <sz val="10"/>
        <color rgb="FF000000"/>
        <rFont val="Yu Gothic"/>
        <family val="0"/>
        <charset val="1"/>
      </rPr>
      <t xml:space="preserve">ECS</t>
    </r>
    <r>
      <rPr>
        <sz val="10"/>
        <color rgb="FF000000"/>
        <rFont val="Noto Sans CJK SC"/>
        <family val="2"/>
      </rPr>
      <t xml:space="preserve">・</t>
    </r>
    <r>
      <rPr>
        <sz val="10"/>
        <color rgb="FF000000"/>
        <rFont val="Yu Gothic"/>
        <family val="0"/>
        <charset val="1"/>
      </rPr>
      <t xml:space="preserve">Aurora</t>
    </r>
    <r>
      <rPr>
        <sz val="10"/>
        <color rgb="FF000000"/>
        <rFont val="Noto Sans CJK SC"/>
        <family val="2"/>
      </rPr>
      <t xml:space="preserve">の</t>
    </r>
    <r>
      <rPr>
        <sz val="10"/>
        <color rgb="FF000000"/>
        <rFont val="Yu Gothic"/>
        <family val="0"/>
        <charset val="1"/>
      </rPr>
      <t xml:space="preserve">SG</t>
    </r>
    <r>
      <rPr>
        <sz val="10"/>
        <color rgb="FF000000"/>
        <rFont val="Noto Sans CJK SC"/>
        <family val="2"/>
      </rPr>
      <t xml:space="preserve">設定を確認する</t>
    </r>
  </si>
  <si>
    <r>
      <rPr>
        <sz val="10"/>
        <color rgb="FF000000"/>
        <rFont val="Yu Gothic"/>
        <family val="0"/>
        <charset val="1"/>
      </rPr>
      <t xml:space="preserve">ALB</t>
    </r>
    <r>
      <rPr>
        <sz val="10"/>
        <color rgb="FF000000"/>
        <rFont val="Noto Sans CJK SC"/>
        <family val="2"/>
      </rPr>
      <t xml:space="preserve">は</t>
    </r>
    <r>
      <rPr>
        <sz val="10"/>
        <color rgb="FF000000"/>
        <rFont val="Yu Gothic"/>
        <family val="0"/>
        <charset val="1"/>
      </rPr>
      <t xml:space="preserve">443</t>
    </r>
    <r>
      <rPr>
        <sz val="10"/>
        <color rgb="FF000000"/>
        <rFont val="Noto Sans CJK SC"/>
        <family val="2"/>
      </rPr>
      <t xml:space="preserve">のみ、</t>
    </r>
    <r>
      <rPr>
        <sz val="10"/>
        <color rgb="FF000000"/>
        <rFont val="Yu Gothic"/>
        <family val="0"/>
        <charset val="1"/>
      </rPr>
      <t xml:space="preserve">ECS</t>
    </r>
    <r>
      <rPr>
        <sz val="10"/>
        <color rgb="FF000000"/>
        <rFont val="Noto Sans CJK SC"/>
        <family val="2"/>
      </rPr>
      <t xml:space="preserve">は</t>
    </r>
    <r>
      <rPr>
        <sz val="10"/>
        <color rgb="FF000000"/>
        <rFont val="Yu Gothic"/>
        <family val="0"/>
        <charset val="1"/>
      </rPr>
      <t xml:space="preserve">ALB</t>
    </r>
    <r>
      <rPr>
        <sz val="10"/>
        <color rgb="FF000000"/>
        <rFont val="Noto Sans CJK SC"/>
        <family val="2"/>
      </rPr>
      <t xml:space="preserve">からのみ、</t>
    </r>
    <r>
      <rPr>
        <sz val="10"/>
        <color rgb="FF000000"/>
        <rFont val="Yu Gothic"/>
        <family val="0"/>
        <charset val="1"/>
      </rPr>
      <t xml:space="preserve">Aurora</t>
    </r>
    <r>
      <rPr>
        <sz val="10"/>
        <color rgb="FF000000"/>
        <rFont val="Noto Sans CJK SC"/>
        <family val="2"/>
      </rPr>
      <t xml:space="preserve">は</t>
    </r>
    <r>
      <rPr>
        <sz val="10"/>
        <color rgb="FF000000"/>
        <rFont val="Yu Gothic"/>
        <family val="0"/>
        <charset val="1"/>
      </rPr>
      <t xml:space="preserve">ECS</t>
    </r>
    <r>
      <rPr>
        <sz val="10"/>
        <color rgb="FF000000"/>
        <rFont val="Noto Sans CJK SC"/>
        <family val="2"/>
      </rPr>
      <t xml:space="preserve">からのみ受け付ける</t>
    </r>
  </si>
  <si>
    <t xml:space="preserve">ST-057</t>
  </si>
  <si>
    <r>
      <rPr>
        <sz val="10"/>
        <color rgb="FF000000"/>
        <rFont val="Yu Gothic"/>
        <family val="0"/>
        <charset val="1"/>
      </rPr>
      <t xml:space="preserve">ECS</t>
    </r>
    <r>
      <rPr>
        <sz val="10"/>
        <color rgb="FF000000"/>
        <rFont val="Noto Sans CJK SC"/>
        <family val="2"/>
      </rPr>
      <t xml:space="preserve">・</t>
    </r>
    <r>
      <rPr>
        <sz val="10"/>
        <color rgb="FF000000"/>
        <rFont val="Yu Gothic"/>
        <family val="0"/>
        <charset val="1"/>
      </rPr>
      <t xml:space="preserve">Aurora</t>
    </r>
    <r>
      <rPr>
        <sz val="10"/>
        <color rgb="FF000000"/>
        <rFont val="Noto Sans CJK SC"/>
        <family val="2"/>
      </rPr>
      <t xml:space="preserve">への直接アクセス</t>
    </r>
  </si>
  <si>
    <t xml:space="preserve">インターネット上の端末</t>
  </si>
  <si>
    <r>
      <rPr>
        <sz val="10"/>
        <color rgb="FF000000"/>
        <rFont val="Yu Gothic"/>
        <family val="0"/>
        <charset val="1"/>
      </rPr>
      <t xml:space="preserve">1. ECS</t>
    </r>
    <r>
      <rPr>
        <sz val="10"/>
        <color rgb="FF000000"/>
        <rFont val="Noto Sans CJK SC"/>
        <family val="2"/>
      </rPr>
      <t xml:space="preserve">タスク</t>
    </r>
    <r>
      <rPr>
        <sz val="10"/>
        <color rgb="FF000000"/>
        <rFont val="Yu Gothic"/>
        <family val="0"/>
        <charset val="1"/>
      </rPr>
      <t xml:space="preserve">IP</t>
    </r>
    <r>
      <rPr>
        <sz val="10"/>
        <color rgb="FF000000"/>
        <rFont val="Noto Sans CJK SC"/>
        <family val="2"/>
      </rPr>
      <t xml:space="preserve">と</t>
    </r>
    <r>
      <rPr>
        <sz val="10"/>
        <color rgb="FF000000"/>
        <rFont val="Yu Gothic"/>
        <family val="0"/>
        <charset val="1"/>
      </rPr>
      <t xml:space="preserve">Aurora</t>
    </r>
    <r>
      <rPr>
        <sz val="10"/>
        <color rgb="FF000000"/>
        <rFont val="Noto Sans CJK SC"/>
        <family val="2"/>
      </rPr>
      <t xml:space="preserve">エンドポイントへ直接接続を試みる</t>
    </r>
  </si>
  <si>
    <t xml:space="preserve">いずれも到達できない</t>
  </si>
  <si>
    <t xml:space="preserve">ST-058</t>
  </si>
  <si>
    <t xml:space="preserve">WAF</t>
  </si>
  <si>
    <r>
      <rPr>
        <sz val="10"/>
        <color rgb="FF000000"/>
        <rFont val="Yu Gothic"/>
        <family val="0"/>
        <charset val="1"/>
      </rPr>
      <t xml:space="preserve">1. WAF</t>
    </r>
    <r>
      <rPr>
        <sz val="10"/>
        <color rgb="FF000000"/>
        <rFont val="Noto Sans CJK SC"/>
        <family val="2"/>
      </rPr>
      <t xml:space="preserve">のルール（レート制限・既知の攻撃パターン）に該当するリクエストを送る</t>
    </r>
  </si>
  <si>
    <r>
      <rPr>
        <sz val="10"/>
        <color rgb="FF000000"/>
        <rFont val="Yu Gothic"/>
        <family val="0"/>
        <charset val="1"/>
      </rPr>
      <t xml:space="preserve">CloudFront</t>
    </r>
    <r>
      <rPr>
        <sz val="10"/>
        <color rgb="FF000000"/>
        <rFont val="Noto Sans CJK SC"/>
        <family val="2"/>
      </rPr>
      <t xml:space="preserve">前段の</t>
    </r>
    <r>
      <rPr>
        <sz val="10"/>
        <color rgb="FF000000"/>
        <rFont val="Yu Gothic"/>
        <family val="0"/>
        <charset val="1"/>
      </rPr>
      <t xml:space="preserve">WAF</t>
    </r>
    <r>
      <rPr>
        <sz val="10"/>
        <color rgb="FF000000"/>
        <rFont val="Noto Sans CJK SC"/>
        <family val="2"/>
      </rPr>
      <t xml:space="preserve">でブロックされる</t>
    </r>
  </si>
  <si>
    <t xml:space="preserve">要件4.2.1</t>
  </si>
  <si>
    <t xml:space="preserve">ST-059</t>
  </si>
  <si>
    <t xml:space="preserve">暗号化</t>
  </si>
  <si>
    <t xml:space="preserve">保存時暗号化</t>
  </si>
  <si>
    <r>
      <rPr>
        <sz val="10"/>
        <color rgb="FF000000"/>
        <rFont val="Yu Gothic"/>
        <family val="0"/>
        <charset val="1"/>
      </rPr>
      <t xml:space="preserve">1. Aurora</t>
    </r>
    <r>
      <rPr>
        <sz val="10"/>
        <color rgb="FF000000"/>
        <rFont val="Noto Sans CJK SC"/>
        <family val="2"/>
      </rPr>
      <t xml:space="preserve">・</t>
    </r>
    <r>
      <rPr>
        <sz val="10"/>
        <color rgb="FF000000"/>
        <rFont val="Yu Gothic"/>
        <family val="0"/>
        <charset val="1"/>
      </rPr>
      <t xml:space="preserve">S3</t>
    </r>
    <r>
      <rPr>
        <sz val="10"/>
        <color rgb="FF000000"/>
        <rFont val="Noto Sans CJK SC"/>
        <family val="2"/>
      </rPr>
      <t xml:space="preserve">・</t>
    </r>
    <r>
      <rPr>
        <sz val="10"/>
        <color rgb="FF000000"/>
        <rFont val="Yu Gothic"/>
        <family val="0"/>
        <charset val="1"/>
      </rPr>
      <t xml:space="preserve">Secrets Manager</t>
    </r>
    <r>
      <rPr>
        <sz val="10"/>
        <color rgb="FF000000"/>
        <rFont val="Noto Sans CJK SC"/>
        <family val="2"/>
      </rPr>
      <t xml:space="preserve">の暗号化設定を確認する</t>
    </r>
  </si>
  <si>
    <r>
      <rPr>
        <sz val="10"/>
        <color rgb="FF000000"/>
        <rFont val="Yu Gothic"/>
        <family val="0"/>
        <charset val="1"/>
      </rPr>
      <t xml:space="preserve">KMS</t>
    </r>
    <r>
      <rPr>
        <sz val="10"/>
        <color rgb="FF000000"/>
        <rFont val="Noto Sans CJK SC"/>
        <family val="2"/>
      </rPr>
      <t xml:space="preserve">による保存時暗号化が有効</t>
    </r>
  </si>
  <si>
    <t xml:space="preserve">ST-060</t>
  </si>
  <si>
    <t xml:space="preserve">シークレット</t>
  </si>
  <si>
    <t xml:space="preserve">平文の秘密情報なし</t>
  </si>
  <si>
    <t xml:space="preserve">ソースコード・ビルド成果物・ECSタスク定義</t>
  </si>
  <si>
    <r>
      <rPr>
        <sz val="10"/>
        <color rgb="FF000000"/>
        <rFont val="Yu Gothic"/>
        <family val="0"/>
        <charset val="1"/>
      </rPr>
      <t xml:space="preserve">1. API</t>
    </r>
    <r>
      <rPr>
        <sz val="10"/>
        <color rgb="FF000000"/>
        <rFont val="Noto Sans CJK SC"/>
        <family val="2"/>
      </rPr>
      <t xml:space="preserve">キー・</t>
    </r>
    <r>
      <rPr>
        <sz val="10"/>
        <color rgb="FF000000"/>
        <rFont val="Yu Gothic"/>
        <family val="0"/>
        <charset val="1"/>
      </rPr>
      <t xml:space="preserve">DB</t>
    </r>
    <r>
      <rPr>
        <sz val="10"/>
        <color rgb="FF000000"/>
        <rFont val="Noto Sans CJK SC"/>
        <family val="2"/>
      </rPr>
      <t xml:space="preserve">パスワード・</t>
    </r>
    <r>
      <rPr>
        <sz val="10"/>
        <color rgb="FF000000"/>
        <rFont val="Yu Gothic"/>
        <family val="0"/>
        <charset val="1"/>
      </rPr>
      <t xml:space="preserve">OAuth</t>
    </r>
    <r>
      <rPr>
        <sz val="10"/>
        <color rgb="FF000000"/>
        <rFont val="Noto Sans CJK SC"/>
        <family val="2"/>
      </rPr>
      <t xml:space="preserve">クライアントシークレットを検索する</t>
    </r>
  </si>
  <si>
    <t xml:space="preserve">平文で含まれていない（Secrets Manager参照のみ）</t>
  </si>
  <si>
    <t xml:space="preserve">ST-061</t>
  </si>
  <si>
    <t xml:space="preserve">クライアント用Mapsキーの制限</t>
  </si>
  <si>
    <r>
      <rPr>
        <sz val="10"/>
        <color rgb="FF000000"/>
        <rFont val="Yu Gothic"/>
        <family val="0"/>
        <charset val="1"/>
      </rPr>
      <t xml:space="preserve">Google Cloud</t>
    </r>
    <r>
      <rPr>
        <sz val="10"/>
        <color rgb="FF000000"/>
        <rFont val="Noto Sans CJK SC"/>
        <family val="2"/>
      </rPr>
      <t xml:space="preserve">コンソール</t>
    </r>
  </si>
  <si>
    <r>
      <rPr>
        <sz val="10"/>
        <color rgb="FF000000"/>
        <rFont val="Yu Gothic"/>
        <family val="0"/>
        <charset val="1"/>
      </rPr>
      <t xml:space="preserve">1. Web</t>
    </r>
    <r>
      <rPr>
        <sz val="10"/>
        <color rgb="FF000000"/>
        <rFont val="Noto Sans CJK SC"/>
        <family val="2"/>
      </rPr>
      <t xml:space="preserve">用キーの</t>
    </r>
    <r>
      <rPr>
        <sz val="10"/>
        <color rgb="FF000000"/>
        <rFont val="Yu Gothic"/>
        <family val="0"/>
        <charset val="1"/>
      </rPr>
      <t xml:space="preserve">HTTP</t>
    </r>
    <r>
      <rPr>
        <sz val="10"/>
        <color rgb="FF000000"/>
        <rFont val="Noto Sans CJK SC"/>
        <family val="2"/>
      </rPr>
      <t xml:space="preserve">リファラ制限と、サーバ用キーの利用</t>
    </r>
    <r>
      <rPr>
        <sz val="10"/>
        <color rgb="FF000000"/>
        <rFont val="Yu Gothic"/>
        <family val="0"/>
        <charset val="1"/>
      </rPr>
      <t xml:space="preserve">API</t>
    </r>
    <r>
      <rPr>
        <sz val="10"/>
        <color rgb="FF000000"/>
        <rFont val="Noto Sans CJK SC"/>
        <family val="2"/>
      </rPr>
      <t xml:space="preserve">制限を確認する
</t>
    </r>
    <r>
      <rPr>
        <sz val="10"/>
        <color rgb="FF000000"/>
        <rFont val="Yu Gothic"/>
        <family val="0"/>
        <charset val="1"/>
      </rPr>
      <t xml:space="preserve">2. Web</t>
    </r>
    <r>
      <rPr>
        <sz val="10"/>
        <color rgb="FF000000"/>
        <rFont val="Noto Sans CJK SC"/>
        <family val="2"/>
      </rPr>
      <t xml:space="preserve">用キーを別ドメインから使う</t>
    </r>
  </si>
  <si>
    <t xml:space="preserve">Web用キーはリファラで、サーバ用キーは利用APIで制限され、他ドメインからは使えない</t>
  </si>
  <si>
    <t xml:space="preserve">要件4.3.1</t>
  </si>
  <si>
    <t xml:space="preserve">ST-062</t>
  </si>
  <si>
    <t xml:space="preserve">権限</t>
  </si>
  <si>
    <r>
      <rPr>
        <sz val="10"/>
        <color rgb="FF000000"/>
        <rFont val="Yu Gothic"/>
        <family val="0"/>
        <charset val="1"/>
      </rPr>
      <t xml:space="preserve">IAM</t>
    </r>
    <r>
      <rPr>
        <sz val="10"/>
        <color rgb="FF000000"/>
        <rFont val="Noto Sans CJK SC"/>
        <family val="2"/>
      </rPr>
      <t xml:space="preserve">最小権限</t>
    </r>
  </si>
  <si>
    <r>
      <rPr>
        <sz val="10"/>
        <color rgb="FF000000"/>
        <rFont val="Yu Gothic"/>
        <family val="0"/>
        <charset val="1"/>
      </rPr>
      <t xml:space="preserve">1. ECS</t>
    </r>
    <r>
      <rPr>
        <sz val="10"/>
        <color rgb="FF000000"/>
        <rFont val="Noto Sans CJK SC"/>
        <family val="2"/>
      </rPr>
      <t xml:space="preserve">タスクロール・</t>
    </r>
    <r>
      <rPr>
        <sz val="10"/>
        <color rgb="FF000000"/>
        <rFont val="Yu Gothic"/>
        <family val="0"/>
        <charset val="1"/>
      </rPr>
      <t xml:space="preserve">CodeBuild</t>
    </r>
    <r>
      <rPr>
        <sz val="10"/>
        <color rgb="FF000000"/>
        <rFont val="Noto Sans CJK SC"/>
        <family val="2"/>
      </rPr>
      <t xml:space="preserve">ロールのポリシーを確認する</t>
    </r>
  </si>
  <si>
    <t xml:space="preserve">必要なサービス・リソースのみに限定されている（*:*がない）</t>
  </si>
  <si>
    <t xml:space="preserve">ST-063</t>
  </si>
  <si>
    <t xml:space="preserve">認証</t>
  </si>
  <si>
    <r>
      <rPr>
        <sz val="10"/>
        <color rgb="FF000000"/>
        <rFont val="Yu Gothic"/>
        <family val="0"/>
        <charset val="1"/>
      </rPr>
      <t xml:space="preserve">JWT</t>
    </r>
    <r>
      <rPr>
        <sz val="10"/>
        <color rgb="FF000000"/>
        <rFont val="Noto Sans CJK SC"/>
        <family val="2"/>
      </rPr>
      <t xml:space="preserve">改ざん・なりすまし</t>
    </r>
  </si>
  <si>
    <r>
      <rPr>
        <sz val="10"/>
        <color rgb="FF000000"/>
        <rFont val="Yu Gothic"/>
        <family val="0"/>
        <charset val="1"/>
      </rPr>
      <t xml:space="preserve">1. </t>
    </r>
    <r>
      <rPr>
        <sz val="10"/>
        <color rgb="FF000000"/>
        <rFont val="Noto Sans CJK SC"/>
        <family val="2"/>
      </rPr>
      <t xml:space="preserve">改ざん</t>
    </r>
    <r>
      <rPr>
        <sz val="10"/>
        <color rgb="FF000000"/>
        <rFont val="Yu Gothic"/>
        <family val="0"/>
        <charset val="1"/>
      </rPr>
      <t xml:space="preserve">JWT</t>
    </r>
    <r>
      <rPr>
        <sz val="10"/>
        <color rgb="FF000000"/>
        <rFont val="Noto Sans CJK SC"/>
        <family val="2"/>
      </rPr>
      <t xml:space="preserve">、他環境</t>
    </r>
    <r>
      <rPr>
        <sz val="10"/>
        <color rgb="FF000000"/>
        <rFont val="Yu Gothic"/>
        <family val="0"/>
        <charset val="1"/>
      </rPr>
      <t xml:space="preserve">JWT</t>
    </r>
    <r>
      <rPr>
        <sz val="10"/>
        <color rgb="FF000000"/>
        <rFont val="Noto Sans CJK SC"/>
        <family val="2"/>
      </rPr>
      <t xml:space="preserve">、期限切れ</t>
    </r>
    <r>
      <rPr>
        <sz val="10"/>
        <color rgb="FF000000"/>
        <rFont val="Yu Gothic"/>
        <family val="0"/>
        <charset val="1"/>
      </rPr>
      <t xml:space="preserve">JWT</t>
    </r>
    <r>
      <rPr>
        <sz val="10"/>
        <color rgb="FF000000"/>
        <rFont val="Noto Sans CJK SC"/>
        <family val="2"/>
      </rPr>
      <t xml:space="preserve">で主要</t>
    </r>
    <r>
      <rPr>
        <sz val="10"/>
        <color rgb="FF000000"/>
        <rFont val="Yu Gothic"/>
        <family val="0"/>
        <charset val="1"/>
      </rPr>
      <t xml:space="preserve">API</t>
    </r>
    <r>
      <rPr>
        <sz val="10"/>
        <color rgb="FF000000"/>
        <rFont val="Noto Sans CJK SC"/>
        <family val="2"/>
      </rPr>
      <t xml:space="preserve">を呼ぶ</t>
    </r>
  </si>
  <si>
    <t xml:space="preserve">すべて401となる</t>
  </si>
  <si>
    <t xml:space="preserve">ST-064</t>
  </si>
  <si>
    <t xml:space="preserve">認可</t>
  </si>
  <si>
    <t xml:space="preserve">他人のデータへのアクセス</t>
  </si>
  <si>
    <t xml:space="preserve">ユーザーA・B</t>
  </si>
  <si>
    <r>
      <rPr>
        <sz val="10"/>
        <color rgb="FF000000"/>
        <rFont val="Yu Gothic"/>
        <family val="0"/>
        <charset val="1"/>
      </rPr>
      <t xml:space="preserve">1. B</t>
    </r>
    <r>
      <rPr>
        <sz val="10"/>
        <color rgb="FF000000"/>
        <rFont val="Noto Sans CJK SC"/>
        <family val="2"/>
      </rPr>
      <t xml:space="preserve">のトークンで</t>
    </r>
    <r>
      <rPr>
        <sz val="10"/>
        <color rgb="FF000000"/>
        <rFont val="Yu Gothic"/>
        <family val="0"/>
        <charset val="1"/>
      </rPr>
      <t xml:space="preserve">A</t>
    </r>
    <r>
      <rPr>
        <sz val="10"/>
        <color rgb="FF000000"/>
        <rFont val="Noto Sans CJK SC"/>
        <family val="2"/>
      </rPr>
      <t xml:space="preserve">の</t>
    </r>
    <r>
      <rPr>
        <sz val="10"/>
        <color rgb="FF000000"/>
        <rFont val="Yu Gothic"/>
        <family val="0"/>
        <charset val="1"/>
      </rPr>
      <t xml:space="preserve">ID</t>
    </r>
    <r>
      <rPr>
        <sz val="10"/>
        <color rgb="FF000000"/>
        <rFont val="Noto Sans CJK SC"/>
        <family val="2"/>
      </rPr>
      <t xml:space="preserve">（計画・項目・メモ・ルーティン）を総当たりで指定する</t>
    </r>
  </si>
  <si>
    <r>
      <rPr>
        <sz val="10"/>
        <color rgb="FF000000"/>
        <rFont val="Yu Gothic"/>
        <family val="0"/>
        <charset val="1"/>
      </rPr>
      <t xml:space="preserve">A</t>
    </r>
    <r>
      <rPr>
        <sz val="10"/>
        <color rgb="FF000000"/>
        <rFont val="Noto Sans CJK SC"/>
        <family val="2"/>
      </rPr>
      <t xml:space="preserve">のデータは参照・更新・削除できない</t>
    </r>
  </si>
  <si>
    <t xml:space="preserve">ST-065</t>
  </si>
  <si>
    <t xml:space="preserve">脆弱性</t>
  </si>
  <si>
    <r>
      <rPr>
        <sz val="10"/>
        <color rgb="FF000000"/>
        <rFont val="Yu Gothic"/>
        <family val="0"/>
        <charset val="1"/>
      </rPr>
      <t xml:space="preserve">SQL</t>
    </r>
    <r>
      <rPr>
        <sz val="10"/>
        <color rgb="FF000000"/>
        <rFont val="Noto Sans CJK SC"/>
        <family val="2"/>
      </rPr>
      <t xml:space="preserve">インジェクション</t>
    </r>
  </si>
  <si>
    <r>
      <rPr>
        <sz val="10"/>
        <color rgb="FF000000"/>
        <rFont val="Yu Gothic"/>
        <family val="0"/>
        <charset val="1"/>
      </rPr>
      <t xml:space="preserve">1. </t>
    </r>
    <r>
      <rPr>
        <sz val="10"/>
        <color rgb="FF000000"/>
        <rFont val="Noto Sans CJK SC"/>
        <family val="2"/>
      </rPr>
      <t xml:space="preserve">検索・入力項目に</t>
    </r>
    <r>
      <rPr>
        <sz val="10"/>
        <color rgb="FF000000"/>
        <rFont val="Yu Gothic"/>
        <family val="0"/>
        <charset val="1"/>
      </rPr>
      <t xml:space="preserve">SQL</t>
    </r>
    <r>
      <rPr>
        <sz val="10"/>
        <color rgb="FF000000"/>
        <rFont val="Noto Sans CJK SC"/>
        <family val="2"/>
      </rPr>
      <t xml:space="preserve">インジェクション文字列を入れる</t>
    </r>
  </si>
  <si>
    <t xml:space="preserve">エラーにならず通常文字列として扱われる</t>
  </si>
  <si>
    <t xml:space="preserve">ST-066</t>
  </si>
  <si>
    <r>
      <rPr>
        <sz val="10"/>
        <color rgb="FF000000"/>
        <rFont val="Yu Gothic"/>
        <family val="0"/>
        <charset val="1"/>
      </rPr>
      <t xml:space="preserve">XSS</t>
    </r>
    <r>
      <rPr>
        <sz val="10"/>
        <color rgb="FF000000"/>
        <rFont val="Noto Sans CJK SC"/>
        <family val="2"/>
      </rPr>
      <t xml:space="preserve">（</t>
    </r>
    <r>
      <rPr>
        <sz val="10"/>
        <color rgb="FF000000"/>
        <rFont val="Yu Gothic"/>
        <family val="0"/>
        <charset val="1"/>
      </rPr>
      <t xml:space="preserve">Web</t>
    </r>
    <r>
      <rPr>
        <sz val="10"/>
        <color rgb="FF000000"/>
        <rFont val="Noto Sans CJK SC"/>
        <family val="2"/>
      </rPr>
      <t xml:space="preserve">表示）</t>
    </r>
  </si>
  <si>
    <r>
      <rPr>
        <sz val="10"/>
        <color rgb="FF000000"/>
        <rFont val="Yu Gothic"/>
        <family val="0"/>
        <charset val="1"/>
      </rPr>
      <t xml:space="preserve">Web</t>
    </r>
    <r>
      <rPr>
        <sz val="10"/>
        <color rgb="FF000000"/>
        <rFont val="Noto Sans CJK SC"/>
        <family val="2"/>
      </rPr>
      <t xml:space="preserve">版</t>
    </r>
  </si>
  <si>
    <r>
      <rPr>
        <sz val="10"/>
        <color rgb="FF000000"/>
        <rFont val="Yu Gothic"/>
        <family val="0"/>
        <charset val="1"/>
      </rPr>
      <t xml:space="preserve">1. </t>
    </r>
    <r>
      <rPr>
        <sz val="10"/>
        <color rgb="FF000000"/>
        <rFont val="Noto Sans CJK SC"/>
        <family val="2"/>
      </rPr>
      <t xml:space="preserve">メモ・ルーティン名・用事入力に</t>
    </r>
    <r>
      <rPr>
        <sz val="10"/>
        <color rgb="FF000000"/>
        <rFont val="Yu Gothic"/>
        <family val="0"/>
        <charset val="1"/>
      </rPr>
      <t xml:space="preserve">&lt;script&gt;</t>
    </r>
    <r>
      <rPr>
        <sz val="10"/>
        <color rgb="FF000000"/>
        <rFont val="Noto Sans CJK SC"/>
        <family val="2"/>
      </rPr>
      <t xml:space="preserve">等を含める</t>
    </r>
  </si>
  <si>
    <t xml:space="preserve">スクリプトは実行されず文字列として表示される</t>
  </si>
  <si>
    <t xml:space="preserve">ST-067</t>
  </si>
  <si>
    <t xml:space="preserve">依存ライブラリ・イメージの脆弱性</t>
  </si>
  <si>
    <r>
      <rPr>
        <sz val="10"/>
        <color rgb="FF000000"/>
        <rFont val="Yu Gothic"/>
        <family val="0"/>
        <charset val="1"/>
      </rPr>
      <t xml:space="preserve">CI</t>
    </r>
    <r>
      <rPr>
        <sz val="10"/>
        <color rgb="FF000000"/>
        <rFont val="Noto Sans CJK SC"/>
        <family val="2"/>
      </rPr>
      <t xml:space="preserve">環境</t>
    </r>
  </si>
  <si>
    <r>
      <rPr>
        <sz val="10"/>
        <color rgb="FF000000"/>
        <rFont val="Yu Gothic"/>
        <family val="0"/>
        <charset val="1"/>
      </rPr>
      <t xml:space="preserve">1. </t>
    </r>
    <r>
      <rPr>
        <sz val="10"/>
        <color rgb="FF000000"/>
        <rFont val="Noto Sans CJK SC"/>
        <family val="2"/>
      </rPr>
      <t xml:space="preserve">依存ライブラリの脆弱性スキャンと</t>
    </r>
    <r>
      <rPr>
        <sz val="10"/>
        <color rgb="FF000000"/>
        <rFont val="Yu Gothic"/>
        <family val="0"/>
        <charset val="1"/>
      </rPr>
      <t xml:space="preserve">ECR</t>
    </r>
    <r>
      <rPr>
        <sz val="10"/>
        <color rgb="FF000000"/>
        <rFont val="Noto Sans CJK SC"/>
        <family val="2"/>
      </rPr>
      <t xml:space="preserve">イメージスキャンを実行する</t>
    </r>
  </si>
  <si>
    <r>
      <rPr>
        <sz val="10"/>
        <color rgb="FF000000"/>
        <rFont val="Yu Gothic"/>
        <family val="0"/>
        <charset val="1"/>
      </rPr>
      <t xml:space="preserve">Critical</t>
    </r>
    <r>
      <rPr>
        <sz val="10"/>
        <color rgb="FF000000"/>
        <rFont val="Noto Sans CJK SC"/>
        <family val="2"/>
      </rPr>
      <t xml:space="preserve">・</t>
    </r>
    <r>
      <rPr>
        <sz val="10"/>
        <color rgb="FF000000"/>
        <rFont val="Yu Gothic"/>
        <family val="0"/>
        <charset val="1"/>
      </rPr>
      <t xml:space="preserve">High</t>
    </r>
    <r>
      <rPr>
        <sz val="10"/>
        <color rgb="FF000000"/>
        <rFont val="Noto Sans CJK SC"/>
        <family val="2"/>
      </rPr>
      <t xml:space="preserve">の未対応がない（あれば対応方針を記録）</t>
    </r>
  </si>
  <si>
    <t xml:space="preserve">ST-068</t>
  </si>
  <si>
    <t xml:space="preserve">AI</t>
  </si>
  <si>
    <t xml:space="preserve">プロンプトインジェクション総合</t>
  </si>
  <si>
    <r>
      <rPr>
        <sz val="10"/>
        <color rgb="FF000000"/>
        <rFont val="Yu Gothic"/>
        <family val="0"/>
        <charset val="1"/>
      </rPr>
      <t xml:space="preserve">1. </t>
    </r>
    <r>
      <rPr>
        <sz val="10"/>
        <color rgb="FF000000"/>
        <rFont val="Noto Sans CJK SC"/>
        <family val="2"/>
      </rPr>
      <t xml:space="preserve">入力・確認質問回答・修正・メモ・カレンダー件名の各経路から既知のインジェクション文例</t>
    </r>
    <r>
      <rPr>
        <sz val="10"/>
        <color rgb="FF000000"/>
        <rFont val="Yu Gothic"/>
        <family val="0"/>
        <charset val="1"/>
      </rPr>
      <t xml:space="preserve">10</t>
    </r>
    <r>
      <rPr>
        <sz val="10"/>
        <color rgb="FF000000"/>
        <rFont val="Noto Sans CJK SC"/>
        <family val="2"/>
      </rPr>
      <t xml:space="preserve">件を試す</t>
    </r>
  </si>
  <si>
    <t xml:space="preserve">いずれもシステム指示の漏えい・逸脱が起きない</t>
  </si>
  <si>
    <t xml:space="preserve">ST-069</t>
  </si>
  <si>
    <t xml:space="preserve">ハルシネーション総合</t>
  </si>
  <si>
    <r>
      <rPr>
        <sz val="10"/>
        <color rgb="FF000000"/>
        <rFont val="Yu Gothic"/>
        <family val="0"/>
        <charset val="1"/>
      </rPr>
      <t xml:space="preserve">1. </t>
    </r>
    <r>
      <rPr>
        <sz val="10"/>
        <color rgb="FF000000"/>
        <rFont val="Noto Sans CJK SC"/>
        <family val="2"/>
      </rPr>
      <t xml:space="preserve">想定パターンと追加</t>
    </r>
    <r>
      <rPr>
        <sz val="10"/>
        <color rgb="FF000000"/>
        <rFont val="Yu Gothic"/>
        <family val="0"/>
        <charset val="1"/>
      </rPr>
      <t xml:space="preserve">20</t>
    </r>
    <r>
      <rPr>
        <sz val="10"/>
        <color rgb="FF000000"/>
        <rFont val="Noto Sans CJK SC"/>
        <family val="2"/>
      </rPr>
      <t xml:space="preserve">件の入力で生成し、全駅名・店舗名・出口を外部</t>
    </r>
    <r>
      <rPr>
        <sz val="10"/>
        <color rgb="FF000000"/>
        <rFont val="Yu Gothic"/>
        <family val="0"/>
        <charset val="1"/>
      </rPr>
      <t xml:space="preserve">API</t>
    </r>
    <r>
      <rPr>
        <sz val="10"/>
        <color rgb="FF000000"/>
        <rFont val="Noto Sans CJK SC"/>
        <family val="2"/>
      </rPr>
      <t xml:space="preserve">の結果と照合する</t>
    </r>
  </si>
  <si>
    <t xml:space="preserve">外部サービスで確認できない名称が1件も提示されていない</t>
  </si>
  <si>
    <t xml:space="preserve">ST-070</t>
  </si>
  <si>
    <t xml:space="preserve">生成回数上限の回避不可</t>
  </si>
  <si>
    <r>
      <rPr>
        <sz val="10"/>
        <color rgb="FF000000"/>
        <rFont val="Yu Gothic"/>
        <family val="0"/>
        <charset val="1"/>
      </rPr>
      <t xml:space="preserve">1. </t>
    </r>
    <r>
      <rPr>
        <sz val="10"/>
        <color rgb="FF000000"/>
        <rFont val="Noto Sans CJK SC"/>
        <family val="2"/>
      </rPr>
      <t xml:space="preserve">複数端末・トークン再取得で</t>
    </r>
    <r>
      <rPr>
        <sz val="10"/>
        <color rgb="FF000000"/>
        <rFont val="Yu Gothic"/>
        <family val="0"/>
        <charset val="1"/>
      </rPr>
      <t xml:space="preserve">21</t>
    </r>
    <r>
      <rPr>
        <sz val="10"/>
        <color rgb="FF000000"/>
        <rFont val="Noto Sans CJK SC"/>
        <family val="2"/>
      </rPr>
      <t xml:space="preserve">回目以降を試す</t>
    </r>
  </si>
  <si>
    <t xml:space="preserve">ユーザー単位で上限が効き、回避できない</t>
  </si>
  <si>
    <t xml:space="preserve">ST-071</t>
  </si>
  <si>
    <t xml:space="preserve">パスワードポリシーとセッション設定</t>
  </si>
  <si>
    <r>
      <rPr>
        <sz val="10"/>
        <color rgb="FF000000"/>
        <rFont val="Yu Gothic"/>
        <family val="0"/>
        <charset val="1"/>
      </rPr>
      <t xml:space="preserve">Cognito</t>
    </r>
    <r>
      <rPr>
        <sz val="10"/>
        <color rgb="FF000000"/>
        <rFont val="Noto Sans CJK SC"/>
        <family val="2"/>
      </rPr>
      <t xml:space="preserve">設定</t>
    </r>
  </si>
  <si>
    <r>
      <rPr>
        <sz val="10"/>
        <color rgb="FF000000"/>
        <rFont val="Yu Gothic"/>
        <family val="0"/>
        <charset val="1"/>
      </rPr>
      <t xml:space="preserve">1. </t>
    </r>
    <r>
      <rPr>
        <sz val="10"/>
        <color rgb="FF000000"/>
        <rFont val="Noto Sans CJK SC"/>
        <family val="2"/>
      </rPr>
      <t xml:space="preserve">パスワードポリシー・トークン有効期限・セッション定数を確認する</t>
    </r>
  </si>
  <si>
    <r>
      <rPr>
        <sz val="10"/>
        <color rgb="FF000000"/>
        <rFont val="Yu Gothic"/>
        <family val="0"/>
        <charset val="1"/>
      </rPr>
      <t xml:space="preserve">8</t>
    </r>
    <r>
      <rPr>
        <sz val="10"/>
        <color rgb="FF000000"/>
        <rFont val="Noto Sans CJK SC"/>
        <family val="2"/>
      </rPr>
      <t xml:space="preserve">文字以上・大小英字・数字必須、無操作</t>
    </r>
    <r>
      <rPr>
        <sz val="10"/>
        <color rgb="FF000000"/>
        <rFont val="Yu Gothic"/>
        <family val="0"/>
        <charset val="1"/>
      </rPr>
      <t xml:space="preserve">24</t>
    </r>
    <r>
      <rPr>
        <sz val="10"/>
        <color rgb="FF000000"/>
        <rFont val="Noto Sans CJK SC"/>
        <family val="2"/>
      </rPr>
      <t xml:space="preserve">時間、ロックなし（定数あり）が設定どおり</t>
    </r>
  </si>
  <si>
    <t xml:space="preserve">ST-072</t>
  </si>
  <si>
    <t xml:space="preserve">ログ</t>
  </si>
  <si>
    <t xml:space="preserve">ログへの機微情報の非出力</t>
  </si>
  <si>
    <r>
      <rPr>
        <sz val="10"/>
        <color rgb="FF000000"/>
        <rFont val="Yu Gothic"/>
        <family val="0"/>
        <charset val="1"/>
      </rPr>
      <t xml:space="preserve">1. </t>
    </r>
    <r>
      <rPr>
        <sz val="10"/>
        <color rgb="FF000000"/>
        <rFont val="Noto Sans CJK SC"/>
        <family val="2"/>
      </rPr>
      <t xml:space="preserve">全機能を一通り操作し、アプリ・アクセス・エラーログを確認する</t>
    </r>
  </si>
  <si>
    <t xml:space="preserve">パスワード・トークン・APIキー・位置座標の生データが出力されていない</t>
  </si>
  <si>
    <t xml:space="preserve">要件4.4.2</t>
  </si>
  <si>
    <t xml:space="preserve">ST-073</t>
  </si>
  <si>
    <t xml:space="preserve">同意</t>
  </si>
  <si>
    <t xml:space="preserve">オンボーディングでの同意取得</t>
  </si>
  <si>
    <t xml:space="preserve">新規ユーザー</t>
  </si>
  <si>
    <r>
      <rPr>
        <sz val="10"/>
        <color rgb="FF000000"/>
        <rFont val="Yu Gothic"/>
        <family val="0"/>
        <charset val="1"/>
      </rPr>
      <t xml:space="preserve">1. Step6</t>
    </r>
    <r>
      <rPr>
        <sz val="10"/>
        <color rgb="FF000000"/>
        <rFont val="Noto Sans CJK SC"/>
        <family val="2"/>
      </rPr>
      <t xml:space="preserve">の文言と同意必須を確認する</t>
    </r>
  </si>
  <si>
    <t xml:space="preserve">同意なしで利用開始できず、利用規約・プライバシーポリシーへのリンクが表示される</t>
  </si>
  <si>
    <t xml:space="preserve">要件3.3.2</t>
  </si>
  <si>
    <t xml:space="preserve">ST-074</t>
  </si>
  <si>
    <t xml:space="preserve">オプトインの効果</t>
  </si>
  <si>
    <t xml:space="preserve">同意をすべてOFFにしたユーザー</t>
  </si>
  <si>
    <r>
      <rPr>
        <sz val="10"/>
        <color rgb="FF000000"/>
        <rFont val="Yu Gothic"/>
        <family val="0"/>
        <charset val="1"/>
      </rPr>
      <t xml:space="preserve">1. </t>
    </r>
    <r>
      <rPr>
        <sz val="10"/>
        <color rgb="FF000000"/>
        <rFont val="Noto Sans CJK SC"/>
        <family val="2"/>
      </rPr>
      <t xml:space="preserve">計画を生成し、</t>
    </r>
    <r>
      <rPr>
        <sz val="10"/>
        <color rgb="FF000000"/>
        <rFont val="Yu Gothic"/>
        <family val="0"/>
        <charset val="1"/>
      </rPr>
      <t xml:space="preserve">AI</t>
    </r>
    <r>
      <rPr>
        <sz val="10"/>
        <color rgb="FF000000"/>
        <rFont val="Noto Sans CJK SC"/>
        <family val="2"/>
      </rPr>
      <t xml:space="preserve">入力・ログ・</t>
    </r>
    <r>
      <rPr>
        <sz val="10"/>
        <color rgb="FF000000"/>
        <rFont val="Yu Gothic"/>
        <family val="0"/>
        <charset val="1"/>
      </rPr>
      <t xml:space="preserve">DB</t>
    </r>
    <r>
      <rPr>
        <sz val="10"/>
        <color rgb="FF000000"/>
        <rFont val="Noto Sans CJK SC"/>
        <family val="2"/>
      </rPr>
      <t xml:space="preserve">を確認する</t>
    </r>
  </si>
  <si>
    <t xml:space="preserve">メモ・位置・カレンダーのデータが一切使われていない</t>
  </si>
  <si>
    <t xml:space="preserve">ST-075</t>
  </si>
  <si>
    <t xml:space="preserve">保存</t>
  </si>
  <si>
    <r>
      <rPr>
        <sz val="10"/>
        <color rgb="FF000000"/>
        <rFont val="Yu Gothic"/>
        <family val="0"/>
        <charset val="1"/>
      </rPr>
      <t xml:space="preserve">AI</t>
    </r>
    <r>
      <rPr>
        <sz val="10"/>
        <color rgb="FF000000"/>
        <rFont val="Noto Sans CJK SC"/>
        <family val="2"/>
      </rPr>
      <t xml:space="preserve">対話履歴に生プロンプトなし</t>
    </r>
  </si>
  <si>
    <r>
      <rPr>
        <sz val="10"/>
        <color rgb="FF000000"/>
        <rFont val="Yu Gothic"/>
        <family val="0"/>
        <charset val="1"/>
      </rPr>
      <t xml:space="preserve">1. </t>
    </r>
    <r>
      <rPr>
        <sz val="10"/>
        <color rgb="FF000000"/>
        <rFont val="Noto Sans CJK SC"/>
        <family val="2"/>
      </rPr>
      <t xml:space="preserve">個人情報（住所・氏名）を含む入力で生成し、</t>
    </r>
    <r>
      <rPr>
        <sz val="10"/>
        <color rgb="FF000000"/>
        <rFont val="Yu Gothic"/>
        <family val="0"/>
        <charset val="1"/>
      </rPr>
      <t xml:space="preserve">AI</t>
    </r>
    <r>
      <rPr>
        <sz val="10"/>
        <color rgb="FF000000"/>
        <rFont val="Noto Sans CJK SC"/>
        <family val="2"/>
      </rPr>
      <t xml:space="preserve">対話履歴を確認する</t>
    </r>
  </si>
  <si>
    <t xml:space="preserve">要約・判定結果のみで、入力全文や住所がそのまま保存されていない</t>
  </si>
  <si>
    <t xml:space="preserve">ST-076</t>
  </si>
  <si>
    <t xml:space="preserve">品目の非永続化</t>
  </si>
  <si>
    <t xml:space="preserve">メモから品目を抽出した計画</t>
  </si>
  <si>
    <r>
      <rPr>
        <sz val="10"/>
        <color rgb="FF000000"/>
        <rFont val="Yu Gothic"/>
        <family val="0"/>
        <charset val="1"/>
      </rPr>
      <t xml:space="preserve">1. DB</t>
    </r>
    <r>
      <rPr>
        <sz val="10"/>
        <color rgb="FF000000"/>
        <rFont val="Noto Sans CJK SC"/>
        <family val="2"/>
      </rPr>
      <t xml:space="preserve">全体を確認する</t>
    </r>
  </si>
  <si>
    <t xml:space="preserve">抽出品目が独立データとして保存されていない</t>
  </si>
  <si>
    <t xml:space="preserve">ST-077</t>
  </si>
  <si>
    <t xml:space="preserve">カレンダーキャッシュは当日分のみ</t>
  </si>
  <si>
    <t xml:space="preserve">連携済みユーザー</t>
  </si>
  <si>
    <r>
      <rPr>
        <sz val="10"/>
        <color rgb="FF000000"/>
        <rFont val="Yu Gothic"/>
        <family val="0"/>
        <charset val="1"/>
      </rPr>
      <t xml:space="preserve">1. </t>
    </r>
    <r>
      <rPr>
        <sz val="10"/>
        <color rgb="FF000000"/>
        <rFont val="Noto Sans CJK SC"/>
        <family val="2"/>
      </rPr>
      <t xml:space="preserve">日付変更後にキャッシュテーブルを確認する</t>
    </r>
  </si>
  <si>
    <t xml:space="preserve">前日以前の予定が残っていない</t>
  </si>
  <si>
    <t xml:space="preserve">ST-078</t>
  </si>
  <si>
    <t xml:space="preserve">削除</t>
  </si>
  <si>
    <t xml:space="preserve">退会時の完全削除</t>
  </si>
  <si>
    <t xml:space="preserve">全データを持つユーザー</t>
  </si>
  <si>
    <r>
      <rPr>
        <sz val="10"/>
        <color rgb="FF000000"/>
        <rFont val="Yu Gothic"/>
        <family val="0"/>
        <charset val="1"/>
      </rPr>
      <t xml:space="preserve">1. </t>
    </r>
    <r>
      <rPr>
        <sz val="10"/>
        <color rgb="FF000000"/>
        <rFont val="Noto Sans CJK SC"/>
        <family val="2"/>
      </rPr>
      <t xml:space="preserve">退会し、全テーブル・</t>
    </r>
    <r>
      <rPr>
        <sz val="10"/>
        <color rgb="FF000000"/>
        <rFont val="Yu Gothic"/>
        <family val="0"/>
        <charset val="1"/>
      </rPr>
      <t xml:space="preserve">Secrets Manager</t>
    </r>
    <r>
      <rPr>
        <sz val="10"/>
        <color rgb="FF000000"/>
        <rFont val="Noto Sans CJK SC"/>
        <family val="2"/>
      </rPr>
      <t xml:space="preserve">・</t>
    </r>
    <r>
      <rPr>
        <sz val="10"/>
        <color rgb="FF000000"/>
        <rFont val="Yu Gothic"/>
        <family val="0"/>
        <charset val="1"/>
      </rPr>
      <t xml:space="preserve">Cognito</t>
    </r>
    <r>
      <rPr>
        <sz val="10"/>
        <color rgb="FF000000"/>
        <rFont val="Noto Sans CJK SC"/>
        <family val="2"/>
      </rPr>
      <t xml:space="preserve">・</t>
    </r>
    <r>
      <rPr>
        <sz val="10"/>
        <color rgb="FF000000"/>
        <rFont val="Yu Gothic"/>
        <family val="0"/>
        <charset val="1"/>
      </rPr>
      <t xml:space="preserve">S3</t>
    </r>
    <r>
      <rPr>
        <sz val="10"/>
        <color rgb="FF000000"/>
        <rFont val="Noto Sans CJK SC"/>
        <family val="2"/>
      </rPr>
      <t xml:space="preserve">を確認する</t>
    </r>
  </si>
  <si>
    <t xml:space="preserve">当該ユーザーのデータがどこにも残っていない（バックアップの7日保持は仕様として許容）</t>
  </si>
  <si>
    <t xml:space="preserve">ST-079</t>
  </si>
  <si>
    <t xml:space="preserve">表示</t>
  </si>
  <si>
    <t xml:space="preserve">プライバシーポリシー・利用規約</t>
  </si>
  <si>
    <t xml:space="preserve">アプリ・Web</t>
  </si>
  <si>
    <r>
      <rPr>
        <sz val="10"/>
        <color rgb="FF000000"/>
        <rFont val="Yu Gothic"/>
        <family val="0"/>
        <charset val="1"/>
      </rPr>
      <t xml:space="preserve">1. </t>
    </r>
    <r>
      <rPr>
        <sz val="10"/>
        <color rgb="FF000000"/>
        <rFont val="Noto Sans CJK SC"/>
        <family val="2"/>
      </rPr>
      <t xml:space="preserve">アプリ内から規約・ポリシーを開く</t>
    </r>
  </si>
  <si>
    <t xml:space="preserve">最新版が表示され、収集項目と利用目的が記載されている</t>
  </si>
  <si>
    <t xml:space="preserve">ST-080</t>
  </si>
  <si>
    <t xml:space="preserve">バックアップ</t>
  </si>
  <si>
    <t xml:space="preserve">自動バックアップ7日</t>
  </si>
  <si>
    <t xml:space="preserve">検証・本番環境</t>
  </si>
  <si>
    <r>
      <rPr>
        <sz val="10"/>
        <color rgb="FF000000"/>
        <rFont val="Yu Gothic"/>
        <family val="0"/>
        <charset val="1"/>
      </rPr>
      <t xml:space="preserve">1. Aurora</t>
    </r>
    <r>
      <rPr>
        <sz val="10"/>
        <color rgb="FF000000"/>
        <rFont val="Noto Sans CJK SC"/>
        <family val="2"/>
      </rPr>
      <t xml:space="preserve">のバックアップ設定と取得状況を確認する</t>
    </r>
  </si>
  <si>
    <t xml:space="preserve">日次自動・保持7日で取得されている</t>
  </si>
  <si>
    <t xml:space="preserve">要件4.4.3</t>
  </si>
  <si>
    <t xml:space="preserve">ST-081</t>
  </si>
  <si>
    <t xml:space="preserve">ポイントインタイムリストア</t>
  </si>
  <si>
    <r>
      <rPr>
        <sz val="10"/>
        <color rgb="FF000000"/>
        <rFont val="Yu Gothic"/>
        <family val="0"/>
        <charset val="1"/>
      </rPr>
      <t xml:space="preserve">1. </t>
    </r>
    <r>
      <rPr>
        <sz val="10"/>
        <color rgb="FF000000"/>
        <rFont val="Noto Sans CJK SC"/>
        <family val="2"/>
      </rPr>
      <t xml:space="preserve">任意時点へリストアし、アプリの接続先を切り替える手順を実施する</t>
    </r>
  </si>
  <si>
    <t xml:space="preserve">手順書どおりに24時間以内（RTO）で復旧でき、データが指定時点に戻る</t>
  </si>
  <si>
    <t xml:space="preserve">ST-082</t>
  </si>
  <si>
    <r>
      <rPr>
        <sz val="10"/>
        <color rgb="FF000000"/>
        <rFont val="Yu Gothic"/>
        <family val="0"/>
        <charset val="1"/>
      </rPr>
      <t xml:space="preserve">CloudWatch Logs</t>
    </r>
    <r>
      <rPr>
        <sz val="10"/>
        <color rgb="FF000000"/>
        <rFont val="Noto Sans CJK SC"/>
        <family val="2"/>
      </rPr>
      <t xml:space="preserve">の保持</t>
    </r>
    <r>
      <rPr>
        <sz val="10"/>
        <color rgb="FF000000"/>
        <rFont val="Yu Gothic"/>
        <family val="0"/>
        <charset val="1"/>
      </rPr>
      <t xml:space="preserve">90</t>
    </r>
    <r>
      <rPr>
        <sz val="10"/>
        <color rgb="FF000000"/>
        <rFont val="Noto Sans CJK SC"/>
        <family val="2"/>
      </rPr>
      <t xml:space="preserve">日</t>
    </r>
  </si>
  <si>
    <r>
      <rPr>
        <sz val="10"/>
        <color rgb="FF000000"/>
        <rFont val="Yu Gothic"/>
        <family val="0"/>
        <charset val="1"/>
      </rPr>
      <t xml:space="preserve">1. </t>
    </r>
    <r>
      <rPr>
        <sz val="10"/>
        <color rgb="FF000000"/>
        <rFont val="Noto Sans CJK SC"/>
        <family val="2"/>
      </rPr>
      <t xml:space="preserve">ロググループの保持期間を確認する</t>
    </r>
  </si>
  <si>
    <t xml:space="preserve">アプリ・エラーログが90日に設定されている</t>
  </si>
  <si>
    <t xml:space="preserve">ST-083</t>
  </si>
  <si>
    <r>
      <rPr>
        <sz val="10"/>
        <color rgb="FF000000"/>
        <rFont val="Yu Gothic"/>
        <family val="0"/>
        <charset val="1"/>
      </rPr>
      <t xml:space="preserve">S3</t>
    </r>
    <r>
      <rPr>
        <sz val="10"/>
        <color rgb="FF000000"/>
        <rFont val="Noto Sans CJK SC"/>
        <family val="2"/>
      </rPr>
      <t xml:space="preserve">ログのライフサイクル</t>
    </r>
  </si>
  <si>
    <r>
      <rPr>
        <sz val="10"/>
        <color rgb="FF000000"/>
        <rFont val="Yu Gothic"/>
        <family val="0"/>
        <charset val="1"/>
      </rPr>
      <t xml:space="preserve">1. </t>
    </r>
    <r>
      <rPr>
        <sz val="10"/>
        <color rgb="FF000000"/>
        <rFont val="Noto Sans CJK SC"/>
        <family val="2"/>
      </rPr>
      <t xml:space="preserve">ログ用</t>
    </r>
    <r>
      <rPr>
        <sz val="10"/>
        <color rgb="FF000000"/>
        <rFont val="Yu Gothic"/>
        <family val="0"/>
        <charset val="1"/>
      </rPr>
      <t xml:space="preserve">S3</t>
    </r>
    <r>
      <rPr>
        <sz val="10"/>
        <color rgb="FF000000"/>
        <rFont val="Noto Sans CJK SC"/>
        <family val="2"/>
      </rPr>
      <t xml:space="preserve">のライフサイクルとバージョニングを確認する</t>
    </r>
  </si>
  <si>
    <r>
      <rPr>
        <sz val="10"/>
        <color rgb="FF000000"/>
        <rFont val="Yu Gothic"/>
        <family val="0"/>
        <charset val="1"/>
      </rPr>
      <t xml:space="preserve">90</t>
    </r>
    <r>
      <rPr>
        <sz val="10"/>
        <color rgb="FF000000"/>
        <rFont val="Noto Sans CJK SC"/>
        <family val="2"/>
      </rPr>
      <t xml:space="preserve">日で自動削除、バージョニング無効</t>
    </r>
  </si>
  <si>
    <t xml:space="preserve">要件4.2.3</t>
  </si>
  <si>
    <t xml:space="preserve">ST-084</t>
  </si>
  <si>
    <t xml:space="preserve">S3</t>
  </si>
  <si>
    <r>
      <rPr>
        <sz val="10"/>
        <color rgb="FF000000"/>
        <rFont val="Yu Gothic"/>
        <family val="0"/>
        <charset val="1"/>
      </rPr>
      <t xml:space="preserve">Web</t>
    </r>
    <r>
      <rPr>
        <sz val="10"/>
        <color rgb="FF000000"/>
        <rFont val="Noto Sans CJK SC"/>
        <family val="2"/>
      </rPr>
      <t xml:space="preserve">資産・デプロイ用バケット設定</t>
    </r>
  </si>
  <si>
    <r>
      <rPr>
        <sz val="10"/>
        <color rgb="FF000000"/>
        <rFont val="Yu Gothic"/>
        <family val="0"/>
        <charset val="1"/>
      </rPr>
      <t xml:space="preserve">1. </t>
    </r>
    <r>
      <rPr>
        <sz val="10"/>
        <color rgb="FF000000"/>
        <rFont val="Noto Sans CJK SC"/>
        <family val="2"/>
      </rPr>
      <t xml:space="preserve">バージョニングとライフサイクルを確認する</t>
    </r>
  </si>
  <si>
    <t xml:space="preserve">いずれもバージョニング有効・ライフサイクルなし</t>
  </si>
  <si>
    <t xml:space="preserve">ST-085</t>
  </si>
  <si>
    <t xml:space="preserve">監視</t>
  </si>
  <si>
    <r>
      <rPr>
        <sz val="10"/>
        <color rgb="FF000000"/>
        <rFont val="Yu Gothic"/>
        <family val="0"/>
        <charset val="1"/>
      </rPr>
      <t xml:space="preserve">ALB 5xx</t>
    </r>
    <r>
      <rPr>
        <sz val="10"/>
        <color rgb="FF000000"/>
        <rFont val="Noto Sans CJK SC"/>
        <family val="2"/>
      </rPr>
      <t xml:space="preserve">エラー率のアラーム</t>
    </r>
  </si>
  <si>
    <t xml:space="preserve">検証環境、通知先をテスト用メールに設定</t>
  </si>
  <si>
    <r>
      <rPr>
        <sz val="10"/>
        <color rgb="FF000000"/>
        <rFont val="Yu Gothic"/>
        <family val="0"/>
        <charset val="1"/>
      </rPr>
      <t xml:space="preserve">1. 5xx</t>
    </r>
    <r>
      <rPr>
        <sz val="10"/>
        <color rgb="FF000000"/>
        <rFont val="Noto Sans CJK SC"/>
        <family val="2"/>
      </rPr>
      <t xml:space="preserve">を意図的に発生させる</t>
    </r>
  </si>
  <si>
    <r>
      <rPr>
        <sz val="10"/>
        <color rgb="FF000000"/>
        <rFont val="Yu Gothic"/>
        <family val="0"/>
        <charset val="1"/>
      </rPr>
      <t xml:space="preserve">CloudWatch Alarm</t>
    </r>
    <r>
      <rPr>
        <sz val="10"/>
        <color rgb="FF000000"/>
        <rFont val="Noto Sans CJK SC"/>
        <family val="2"/>
      </rPr>
      <t xml:space="preserve">が発報し、</t>
    </r>
    <r>
      <rPr>
        <sz val="10"/>
        <color rgb="FF000000"/>
        <rFont val="Yu Gothic"/>
        <family val="0"/>
        <charset val="1"/>
      </rPr>
      <t xml:space="preserve">SNS</t>
    </r>
    <r>
      <rPr>
        <sz val="10"/>
        <color rgb="FF000000"/>
        <rFont val="Noto Sans CJK SC"/>
        <family val="2"/>
      </rPr>
      <t xml:space="preserve">経由で通知が届く。復旧時に</t>
    </r>
    <r>
      <rPr>
        <sz val="10"/>
        <color rgb="FF000000"/>
        <rFont val="Yu Gothic"/>
        <family val="0"/>
        <charset val="1"/>
      </rPr>
      <t xml:space="preserve">OK</t>
    </r>
    <r>
      <rPr>
        <sz val="10"/>
        <color rgb="FF000000"/>
        <rFont val="Noto Sans CJK SC"/>
        <family val="2"/>
      </rPr>
      <t xml:space="preserve">へ戻る</t>
    </r>
  </si>
  <si>
    <t xml:space="preserve">要件4.4.1</t>
  </si>
  <si>
    <t xml:space="preserve">ST-086</t>
  </si>
  <si>
    <r>
      <rPr>
        <sz val="10"/>
        <color rgb="FF000000"/>
        <rFont val="Yu Gothic"/>
        <family val="0"/>
        <charset val="1"/>
      </rPr>
      <t xml:space="preserve">AI</t>
    </r>
    <r>
      <rPr>
        <sz val="10"/>
        <color rgb="FF000000"/>
        <rFont val="Noto Sans CJK SC"/>
        <family val="2"/>
      </rPr>
      <t xml:space="preserve">連携基盤レイテンシ</t>
    </r>
    <r>
      <rPr>
        <sz val="10"/>
        <color rgb="FF000000"/>
        <rFont val="Yu Gothic"/>
        <family val="0"/>
        <charset val="1"/>
      </rPr>
      <t xml:space="preserve">p95</t>
    </r>
    <r>
      <rPr>
        <sz val="10"/>
        <color rgb="FF000000"/>
        <rFont val="Noto Sans CJK SC"/>
        <family val="2"/>
      </rPr>
      <t xml:space="preserve">のアラーム</t>
    </r>
  </si>
  <si>
    <r>
      <rPr>
        <sz val="10"/>
        <color rgb="FF000000"/>
        <rFont val="Yu Gothic"/>
        <family val="0"/>
        <charset val="1"/>
      </rPr>
      <t xml:space="preserve">1. </t>
    </r>
    <r>
      <rPr>
        <sz val="10"/>
        <color rgb="FF000000"/>
        <rFont val="Noto Sans CJK SC"/>
        <family val="2"/>
      </rPr>
      <t xml:space="preserve">計画生成を遅延させる</t>
    </r>
  </si>
  <si>
    <t xml:space="preserve">ST-087</t>
  </si>
  <si>
    <r>
      <rPr>
        <sz val="10"/>
        <color rgb="FF000000"/>
        <rFont val="Yu Gothic"/>
        <family val="0"/>
        <charset val="1"/>
      </rPr>
      <t xml:space="preserve">CPU</t>
    </r>
    <r>
      <rPr>
        <sz val="10"/>
        <color rgb="FF000000"/>
        <rFont val="Noto Sans CJK SC"/>
        <family val="2"/>
      </rPr>
      <t xml:space="preserve">・メモリ使用率のアラーム</t>
    </r>
  </si>
  <si>
    <r>
      <rPr>
        <sz val="10"/>
        <color rgb="FF000000"/>
        <rFont val="Yu Gothic"/>
        <family val="0"/>
        <charset val="1"/>
      </rPr>
      <t xml:space="preserve">1. </t>
    </r>
    <r>
      <rPr>
        <sz val="10"/>
        <color rgb="FF000000"/>
        <rFont val="Noto Sans CJK SC"/>
        <family val="2"/>
      </rPr>
      <t xml:space="preserve">負荷をかける</t>
    </r>
  </si>
  <si>
    <t xml:space="preserve">ST-088</t>
  </si>
  <si>
    <t xml:space="preserve">レスポンス時間のアラーム</t>
  </si>
  <si>
    <r>
      <rPr>
        <sz val="10"/>
        <color rgb="FF000000"/>
        <rFont val="Yu Gothic"/>
        <family val="0"/>
        <charset val="1"/>
      </rPr>
      <t xml:space="preserve">1. API</t>
    </r>
    <r>
      <rPr>
        <sz val="10"/>
        <color rgb="FF000000"/>
        <rFont val="Noto Sans CJK SC"/>
        <family val="2"/>
      </rPr>
      <t xml:space="preserve">を遅延させる</t>
    </r>
  </si>
  <si>
    <t xml:space="preserve">ST-089</t>
  </si>
  <si>
    <r>
      <rPr>
        <sz val="10"/>
        <color rgb="FF000000"/>
        <rFont val="Yu Gothic"/>
        <family val="0"/>
        <charset val="1"/>
      </rPr>
      <t xml:space="preserve">Billing Alarm</t>
    </r>
    <r>
      <rPr>
        <sz val="10"/>
        <color rgb="FF000000"/>
        <rFont val="Noto Sans CJK SC"/>
        <family val="2"/>
      </rPr>
      <t xml:space="preserve">のアラーム</t>
    </r>
  </si>
  <si>
    <r>
      <rPr>
        <sz val="10"/>
        <color rgb="FF000000"/>
        <rFont val="Yu Gothic"/>
        <family val="0"/>
        <charset val="1"/>
      </rPr>
      <t xml:space="preserve">1. </t>
    </r>
    <r>
      <rPr>
        <sz val="10"/>
        <color rgb="FF000000"/>
        <rFont val="Noto Sans CJK SC"/>
        <family val="2"/>
      </rPr>
      <t xml:space="preserve">閾値を一時的に下げる</t>
    </r>
  </si>
  <si>
    <t xml:space="preserve">ST-090</t>
  </si>
  <si>
    <r>
      <rPr>
        <sz val="10"/>
        <color rgb="FF000000"/>
        <rFont val="Yu Gothic"/>
        <family val="0"/>
        <charset val="1"/>
      </rPr>
      <t xml:space="preserve">Bedrock</t>
    </r>
    <r>
      <rPr>
        <sz val="10"/>
        <color rgb="FF000000"/>
        <rFont val="Noto Sans CJK SC"/>
        <family val="2"/>
      </rPr>
      <t xml:space="preserve">呼び出し量のアラーム</t>
    </r>
  </si>
  <si>
    <r>
      <rPr>
        <sz val="10"/>
        <color rgb="FF000000"/>
        <rFont val="Yu Gothic"/>
        <family val="0"/>
        <charset val="1"/>
      </rPr>
      <t xml:space="preserve">1. </t>
    </r>
    <r>
      <rPr>
        <sz val="10"/>
        <color rgb="FF000000"/>
        <rFont val="Noto Sans CJK SC"/>
        <family val="2"/>
      </rPr>
      <t xml:space="preserve">閾値を一時的に下げて生成を繰り返す</t>
    </r>
  </si>
  <si>
    <t xml:space="preserve">ST-091</t>
  </si>
  <si>
    <r>
      <rPr>
        <sz val="10"/>
        <color rgb="FF000000"/>
        <rFont val="Yu Gothic"/>
        <family val="0"/>
        <charset val="1"/>
      </rPr>
      <t xml:space="preserve">Google Maps</t>
    </r>
    <r>
      <rPr>
        <sz val="10"/>
        <color rgb="FF000000"/>
        <rFont val="Noto Sans CJK SC"/>
        <family val="2"/>
      </rPr>
      <t xml:space="preserve">・乗換</t>
    </r>
    <r>
      <rPr>
        <sz val="10"/>
        <color rgb="FF000000"/>
        <rFont val="Yu Gothic"/>
        <family val="0"/>
        <charset val="1"/>
      </rPr>
      <t xml:space="preserve">API</t>
    </r>
    <r>
      <rPr>
        <sz val="10"/>
        <color rgb="FF000000"/>
        <rFont val="Noto Sans CJK SC"/>
        <family val="2"/>
      </rPr>
      <t xml:space="preserve">呼び出し量のアラーム</t>
    </r>
  </si>
  <si>
    <t xml:space="preserve">ST-092</t>
  </si>
  <si>
    <t xml:space="preserve">重大エラーの通知</t>
  </si>
  <si>
    <r>
      <rPr>
        <sz val="10"/>
        <color rgb="FF000000"/>
        <rFont val="Yu Gothic"/>
        <family val="0"/>
        <charset val="1"/>
      </rPr>
      <t xml:space="preserve">1. </t>
    </r>
    <r>
      <rPr>
        <sz val="10"/>
        <color rgb="FF000000"/>
        <rFont val="Noto Sans CJK SC"/>
        <family val="2"/>
      </rPr>
      <t xml:space="preserve">未処理例外を発生させる</t>
    </r>
  </si>
  <si>
    <t xml:space="preserve">エラーログが出力され、通知が届く</t>
  </si>
  <si>
    <t xml:space="preserve">ST-093</t>
  </si>
  <si>
    <t xml:space="preserve">バッチ</t>
  </si>
  <si>
    <t xml:space="preserve">メモ削除の日次運用</t>
  </si>
  <si>
    <t xml:space="preserve">検証環境で1週間稼働</t>
  </si>
  <si>
    <r>
      <rPr>
        <sz val="10"/>
        <color rgb="FF000000"/>
        <rFont val="Yu Gothic"/>
        <family val="0"/>
        <charset val="1"/>
      </rPr>
      <t xml:space="preserve">1. </t>
    </r>
    <r>
      <rPr>
        <sz val="10"/>
        <color rgb="FF000000"/>
        <rFont val="Noto Sans CJK SC"/>
        <family val="2"/>
      </rPr>
      <t xml:space="preserve">毎日のログを確認する</t>
    </r>
  </si>
  <si>
    <t xml:space="preserve">毎日1回実行され、失敗がない</t>
  </si>
  <si>
    <t xml:space="preserve">要件2.3.2.1</t>
  </si>
  <si>
    <t xml:space="preserve">ST-094</t>
  </si>
  <si>
    <t xml:space="preserve">設定</t>
  </si>
  <si>
    <r>
      <rPr>
        <sz val="10"/>
        <color rgb="FF000000"/>
        <rFont val="Yu Gothic"/>
        <family val="0"/>
        <charset val="1"/>
      </rPr>
      <t xml:space="preserve">Feature Flag</t>
    </r>
    <r>
      <rPr>
        <sz val="10"/>
        <color rgb="FF000000"/>
        <rFont val="Noto Sans CJK SC"/>
        <family val="2"/>
      </rPr>
      <t xml:space="preserve">の切替手順</t>
    </r>
  </si>
  <si>
    <r>
      <rPr>
        <sz val="10"/>
        <color rgb="FF000000"/>
        <rFont val="Yu Gothic"/>
        <family val="0"/>
        <charset val="1"/>
      </rPr>
      <t xml:space="preserve">1. </t>
    </r>
    <r>
      <rPr>
        <sz val="10"/>
        <color rgb="FF000000"/>
        <rFont val="Noto Sans CJK SC"/>
        <family val="2"/>
      </rPr>
      <t xml:space="preserve">手順書どおりに音声入力の</t>
    </r>
    <r>
      <rPr>
        <sz val="10"/>
        <color rgb="FF000000"/>
        <rFont val="Yu Gothic"/>
        <family val="0"/>
        <charset val="1"/>
      </rPr>
      <t xml:space="preserve">Flag</t>
    </r>
    <r>
      <rPr>
        <sz val="10"/>
        <color rgb="FF000000"/>
        <rFont val="Noto Sans CJK SC"/>
        <family val="2"/>
      </rPr>
      <t xml:space="preserve">を一時的に</t>
    </r>
    <r>
      <rPr>
        <sz val="10"/>
        <color rgb="FF000000"/>
        <rFont val="Yu Gothic"/>
        <family val="0"/>
        <charset val="1"/>
      </rPr>
      <t xml:space="preserve">ON</t>
    </r>
    <r>
      <rPr>
        <sz val="10"/>
        <color rgb="FF000000"/>
        <rFont val="Noto Sans CJK SC"/>
        <family val="2"/>
      </rPr>
      <t xml:space="preserve">にし、元に戻す</t>
    </r>
  </si>
  <si>
    <t xml:space="preserve">設定変更のみで切り替わり、OFFに戻すと元の状態に戻る（本体未実装部分はエラーにならない）</t>
  </si>
  <si>
    <t xml:space="preserve">要件3.2.3</t>
  </si>
  <si>
    <t xml:space="preserve">ST-095</t>
  </si>
  <si>
    <t xml:space="preserve">日次上限値の変更</t>
  </si>
  <si>
    <r>
      <rPr>
        <sz val="10"/>
        <color rgb="FF000000"/>
        <rFont val="Yu Gothic"/>
        <family val="0"/>
        <charset val="1"/>
      </rPr>
      <t xml:space="preserve">1. </t>
    </r>
    <r>
      <rPr>
        <sz val="10"/>
        <color rgb="FF000000"/>
        <rFont val="Noto Sans CJK SC"/>
        <family val="2"/>
      </rPr>
      <t xml:space="preserve">上限値を</t>
    </r>
    <r>
      <rPr>
        <sz val="10"/>
        <color rgb="FF000000"/>
        <rFont val="Yu Gothic"/>
        <family val="0"/>
        <charset val="1"/>
      </rPr>
      <t xml:space="preserve">20→5</t>
    </r>
    <r>
      <rPr>
        <sz val="10"/>
        <color rgb="FF000000"/>
        <rFont val="Noto Sans CJK SC"/>
        <family val="2"/>
      </rPr>
      <t xml:space="preserve">に変更する</t>
    </r>
  </si>
  <si>
    <t xml:space="preserve">コード変更なしで上限が5回になる</t>
  </si>
  <si>
    <t xml:space="preserve">ST-096</t>
  </si>
  <si>
    <t xml:space="preserve">手順</t>
  </si>
  <si>
    <t xml:space="preserve">障害時の一次対応手順</t>
  </si>
  <si>
    <t xml:space="preserve">運用手順書</t>
  </si>
  <si>
    <r>
      <rPr>
        <sz val="10"/>
        <color rgb="FF000000"/>
        <rFont val="Yu Gothic"/>
        <family val="0"/>
        <charset val="1"/>
      </rPr>
      <t xml:space="preserve">1. ECS</t>
    </r>
    <r>
      <rPr>
        <sz val="10"/>
        <color rgb="FF000000"/>
        <rFont val="Noto Sans CJK SC"/>
        <family val="2"/>
      </rPr>
      <t xml:space="preserve">停止・</t>
    </r>
    <r>
      <rPr>
        <sz val="10"/>
        <color rgb="FF000000"/>
        <rFont val="Yu Gothic"/>
        <family val="0"/>
        <charset val="1"/>
      </rPr>
      <t xml:space="preserve">DB</t>
    </r>
    <r>
      <rPr>
        <sz val="10"/>
        <color rgb="FF000000"/>
        <rFont val="Noto Sans CJK SC"/>
        <family val="2"/>
      </rPr>
      <t xml:space="preserve">障害・外部</t>
    </r>
    <r>
      <rPr>
        <sz val="10"/>
        <color rgb="FF000000"/>
        <rFont val="Yu Gothic"/>
        <family val="0"/>
        <charset val="1"/>
      </rPr>
      <t xml:space="preserve">API</t>
    </r>
    <r>
      <rPr>
        <sz val="10"/>
        <color rgb="FF000000"/>
        <rFont val="Noto Sans CJK SC"/>
        <family val="2"/>
      </rPr>
      <t xml:space="preserve">障害のシナリオで手順書をたどる</t>
    </r>
  </si>
  <si>
    <t xml:space="preserve">手順書だけで原因の切り分けと復旧ができる</t>
  </si>
  <si>
    <t xml:space="preserve">要件4.4</t>
  </si>
  <si>
    <t xml:space="preserve">ST-097</t>
  </si>
  <si>
    <t xml:space="preserve">コスト</t>
  </si>
  <si>
    <r>
      <rPr>
        <sz val="10"/>
        <color rgb="FF000000"/>
        <rFont val="Yu Gothic"/>
        <family val="0"/>
        <charset val="1"/>
      </rPr>
      <t xml:space="preserve">1</t>
    </r>
    <r>
      <rPr>
        <sz val="10"/>
        <color rgb="FF000000"/>
        <rFont val="Noto Sans CJK SC"/>
        <family val="2"/>
      </rPr>
      <t xml:space="preserve">日あたりの利用料の確認</t>
    </r>
  </si>
  <si>
    <r>
      <rPr>
        <sz val="10"/>
        <color rgb="FF000000"/>
        <rFont val="Yu Gothic"/>
        <family val="0"/>
        <charset val="1"/>
      </rPr>
      <t xml:space="preserve">1. Cost Explorer</t>
    </r>
    <r>
      <rPr>
        <sz val="10"/>
        <color rgb="FF000000"/>
        <rFont val="Noto Sans CJK SC"/>
        <family val="2"/>
      </rPr>
      <t xml:space="preserve">で日別コストを確認する</t>
    </r>
  </si>
  <si>
    <t xml:space="preserve">見積書の月額（検証環境）と大きく乖離していない</t>
  </si>
  <si>
    <t xml:space="preserve">見積書7.2</t>
  </si>
  <si>
    <t xml:space="preserve">ST-098</t>
  </si>
  <si>
    <t xml:space="preserve">CI/CD</t>
  </si>
  <si>
    <t xml:space="preserve">ソースzipからの自動デプロイ</t>
  </si>
  <si>
    <r>
      <rPr>
        <sz val="10"/>
        <color rgb="FF000000"/>
        <rFont val="Yu Gothic"/>
        <family val="0"/>
        <charset val="1"/>
      </rPr>
      <t xml:space="preserve">1. </t>
    </r>
    <r>
      <rPr>
        <sz val="10"/>
        <color rgb="FF000000"/>
        <rFont val="Noto Sans CJK SC"/>
        <family val="2"/>
      </rPr>
      <t xml:space="preserve">ソース</t>
    </r>
    <r>
      <rPr>
        <sz val="10"/>
        <color rgb="FF000000"/>
        <rFont val="Yu Gothic"/>
        <family val="0"/>
        <charset val="1"/>
      </rPr>
      <t xml:space="preserve">zip</t>
    </r>
    <r>
      <rPr>
        <sz val="10"/>
        <color rgb="FF000000"/>
        <rFont val="Noto Sans CJK SC"/>
        <family val="2"/>
      </rPr>
      <t xml:space="preserve">をデプロイ用</t>
    </r>
    <r>
      <rPr>
        <sz val="10"/>
        <color rgb="FF000000"/>
        <rFont val="Yu Gothic"/>
        <family val="0"/>
        <charset val="1"/>
      </rPr>
      <t xml:space="preserve">S3</t>
    </r>
    <r>
      <rPr>
        <sz val="10"/>
        <color rgb="FF000000"/>
        <rFont val="Noto Sans CJK SC"/>
        <family val="2"/>
      </rPr>
      <t xml:space="preserve">にアップロードする</t>
    </r>
  </si>
  <si>
    <r>
      <rPr>
        <sz val="10"/>
        <color rgb="FF000000"/>
        <rFont val="Yu Gothic"/>
        <family val="0"/>
        <charset val="1"/>
      </rPr>
      <t xml:space="preserve">CodePipeline→CodeBuild→ECR→ECS</t>
    </r>
    <r>
      <rPr>
        <sz val="10"/>
        <color rgb="FF000000"/>
        <rFont val="Noto Sans CJK SC"/>
        <family val="2"/>
      </rPr>
      <t xml:space="preserve">が自動で実行され、新バージョンが稼働する</t>
    </r>
  </si>
  <si>
    <t xml:space="preserve">要件4.5</t>
  </si>
  <si>
    <t xml:space="preserve">ST-099</t>
  </si>
  <si>
    <t xml:space="preserve">ビルド失敗時</t>
  </si>
  <si>
    <r>
      <rPr>
        <sz val="10"/>
        <color rgb="FF000000"/>
        <rFont val="Yu Gothic"/>
        <family val="0"/>
        <charset val="1"/>
      </rPr>
      <t xml:space="preserve">1. </t>
    </r>
    <r>
      <rPr>
        <sz val="10"/>
        <color rgb="FF000000"/>
        <rFont val="Noto Sans CJK SC"/>
        <family val="2"/>
      </rPr>
      <t xml:space="preserve">テストが失敗するソースをアップロードする</t>
    </r>
  </si>
  <si>
    <t xml:space="preserve">パイプラインが停止し、稼働中のバージョンは変わらない</t>
  </si>
  <si>
    <t xml:space="preserve">ST-100</t>
  </si>
  <si>
    <t xml:space="preserve">ロールバック</t>
  </si>
  <si>
    <r>
      <rPr>
        <sz val="10"/>
        <color rgb="FF000000"/>
        <rFont val="Yu Gothic"/>
        <family val="0"/>
        <charset val="1"/>
      </rPr>
      <t xml:space="preserve">1. </t>
    </r>
    <r>
      <rPr>
        <sz val="10"/>
        <color rgb="FF000000"/>
        <rFont val="Noto Sans CJK SC"/>
        <family val="2"/>
      </rPr>
      <t xml:space="preserve">不具合のあるバージョンをデプロイ後、手順書どおりに前バージョンへ戻す</t>
    </r>
  </si>
  <si>
    <t xml:space="preserve">前バージョンに戻り正常に動作する</t>
  </si>
  <si>
    <t xml:space="preserve">ST-101</t>
  </si>
  <si>
    <r>
      <rPr>
        <sz val="10"/>
        <color rgb="FF000000"/>
        <rFont val="Yu Gothic"/>
        <family val="0"/>
        <charset val="1"/>
      </rPr>
      <t xml:space="preserve">Web</t>
    </r>
    <r>
      <rPr>
        <sz val="10"/>
        <color rgb="FF000000"/>
        <rFont val="Noto Sans CJK SC"/>
        <family val="2"/>
      </rPr>
      <t xml:space="preserve">配信</t>
    </r>
  </si>
  <si>
    <r>
      <rPr>
        <sz val="10"/>
        <color rgb="FF000000"/>
        <rFont val="Yu Gothic"/>
        <family val="0"/>
        <charset val="1"/>
      </rPr>
      <t xml:space="preserve">Flutter Web</t>
    </r>
    <r>
      <rPr>
        <sz val="10"/>
        <color rgb="FF000000"/>
        <rFont val="Noto Sans CJK SC"/>
        <family val="2"/>
      </rPr>
      <t xml:space="preserve">の更新</t>
    </r>
  </si>
  <si>
    <r>
      <rPr>
        <sz val="10"/>
        <color rgb="FF000000"/>
        <rFont val="Yu Gothic"/>
        <family val="0"/>
        <charset val="1"/>
      </rPr>
      <t xml:space="preserve">1. Web</t>
    </r>
    <r>
      <rPr>
        <sz val="10"/>
        <color rgb="FF000000"/>
        <rFont val="Noto Sans CJK SC"/>
        <family val="2"/>
      </rPr>
      <t xml:space="preserve">版をデプロイしブラウザで開く</t>
    </r>
  </si>
  <si>
    <t xml:space="preserve">キャッシュ無効化により新バージョンが表示される</t>
  </si>
  <si>
    <t xml:space="preserve">ST-102</t>
  </si>
  <si>
    <t xml:space="preserve">IaC</t>
  </si>
  <si>
    <r>
      <rPr>
        <sz val="10"/>
        <color rgb="FF000000"/>
        <rFont val="Yu Gothic"/>
        <family val="0"/>
        <charset val="1"/>
      </rPr>
      <t xml:space="preserve">CDK</t>
    </r>
    <r>
      <rPr>
        <sz val="10"/>
        <color rgb="FF000000"/>
        <rFont val="Noto Sans CJK SC"/>
        <family val="2"/>
      </rPr>
      <t xml:space="preserve">と実環境の差分</t>
    </r>
  </si>
  <si>
    <r>
      <rPr>
        <sz val="10"/>
        <color rgb="FF000000"/>
        <rFont val="Yu Gothic"/>
        <family val="0"/>
        <charset val="1"/>
      </rPr>
      <t xml:space="preserve">1. cdk diff</t>
    </r>
    <r>
      <rPr>
        <sz val="10"/>
        <color rgb="FF000000"/>
        <rFont val="Noto Sans CJK SC"/>
        <family val="2"/>
      </rPr>
      <t xml:space="preserve">を実行する</t>
    </r>
  </si>
  <si>
    <t xml:space="preserve">コード外の手動変更による差分がない</t>
  </si>
  <si>
    <t xml:space="preserve">ST-103</t>
  </si>
  <si>
    <t xml:space="preserve">環境</t>
  </si>
  <si>
    <r>
      <rPr>
        <sz val="10"/>
        <color rgb="FF000000"/>
        <rFont val="Yu Gothic"/>
        <family val="0"/>
        <charset val="1"/>
      </rPr>
      <t xml:space="preserve">3</t>
    </r>
    <r>
      <rPr>
        <sz val="10"/>
        <color rgb="FF000000"/>
        <rFont val="Noto Sans CJK SC"/>
        <family val="2"/>
      </rPr>
      <t xml:space="preserve">環境の構成差</t>
    </r>
  </si>
  <si>
    <t xml:space="preserve">開発・検証・本番</t>
  </si>
  <si>
    <r>
      <rPr>
        <sz val="10"/>
        <color rgb="FF000000"/>
        <rFont val="Yu Gothic"/>
        <family val="0"/>
        <charset val="1"/>
      </rPr>
      <t xml:space="preserve">1. </t>
    </r>
    <r>
      <rPr>
        <sz val="10"/>
        <color rgb="FF000000"/>
        <rFont val="Noto Sans CJK SC"/>
        <family val="2"/>
      </rPr>
      <t xml:space="preserve">各環境の構成を確認する</t>
    </r>
  </si>
  <si>
    <t xml:space="preserve">開発はシングルAZ、検証・本番はMulti-AZで、要件の構成表どおり</t>
  </si>
  <si>
    <t xml:space="preserve">ST-104</t>
  </si>
  <si>
    <t xml:space="preserve">環境ごとの分離</t>
  </si>
  <si>
    <r>
      <rPr>
        <sz val="10"/>
        <color rgb="FF000000"/>
        <rFont val="Yu Gothic"/>
        <family val="0"/>
        <charset val="1"/>
      </rPr>
      <t xml:space="preserve">1. API</t>
    </r>
    <r>
      <rPr>
        <sz val="10"/>
        <color rgb="FF000000"/>
        <rFont val="Noto Sans CJK SC"/>
        <family val="2"/>
      </rPr>
      <t xml:space="preserve">キー・</t>
    </r>
    <r>
      <rPr>
        <sz val="10"/>
        <color rgb="FF000000"/>
        <rFont val="Yu Gothic"/>
        <family val="0"/>
        <charset val="1"/>
      </rPr>
      <t xml:space="preserve">Cognito</t>
    </r>
    <r>
      <rPr>
        <sz val="10"/>
        <color rgb="FF000000"/>
        <rFont val="Noto Sans CJK SC"/>
        <family val="2"/>
      </rPr>
      <t xml:space="preserve">・</t>
    </r>
    <r>
      <rPr>
        <sz val="10"/>
        <color rgb="FF000000"/>
        <rFont val="Yu Gothic"/>
        <family val="0"/>
        <charset val="1"/>
      </rPr>
      <t xml:space="preserve">DB</t>
    </r>
    <r>
      <rPr>
        <sz val="10"/>
        <color rgb="FF000000"/>
        <rFont val="Noto Sans CJK SC"/>
        <family val="2"/>
      </rPr>
      <t xml:space="preserve">の接続先を確認する</t>
    </r>
  </si>
  <si>
    <t xml:space="preserve">環境ごとに分離され、他環境のデータにアクセスしない</t>
  </si>
  <si>
    <t xml:space="preserve">ST-105</t>
  </si>
  <si>
    <t xml:space="preserve">段階的開示</t>
  </si>
  <si>
    <t xml:space="preserve">判断に迷わない初期表示</t>
  </si>
  <si>
    <t xml:space="preserve">計画生成済み</t>
  </si>
  <si>
    <r>
      <rPr>
        <sz val="10"/>
        <color rgb="FF000000"/>
        <rFont val="Yu Gothic"/>
        <family val="0"/>
        <charset val="1"/>
      </rPr>
      <t xml:space="preserve">1. </t>
    </r>
    <r>
      <rPr>
        <sz val="10"/>
        <color rgb="FF000000"/>
        <rFont val="Noto Sans CJK SC"/>
        <family val="2"/>
      </rPr>
      <t xml:space="preserve">結果画面の初期表示を確認する</t>
    </r>
  </si>
  <si>
    <t xml:space="preserve">ルート1案・簡潔表示で、次に取るべき行動（出発時刻）がすぐ分かる</t>
  </si>
  <si>
    <t xml:space="preserve">要件1.2</t>
  </si>
  <si>
    <t xml:space="preserve">ST-106</t>
  </si>
  <si>
    <t xml:space="preserve">エラー表示</t>
  </si>
  <si>
    <t xml:space="preserve">インライン表示の一貫性</t>
  </si>
  <si>
    <t xml:space="preserve">各画面</t>
  </si>
  <si>
    <r>
      <rPr>
        <sz val="10"/>
        <color rgb="FF000000"/>
        <rFont val="Yu Gothic"/>
        <family val="0"/>
        <charset val="1"/>
      </rPr>
      <t xml:space="preserve">1. </t>
    </r>
    <r>
      <rPr>
        <sz val="10"/>
        <color rgb="FF000000"/>
        <rFont val="Noto Sans CJK SC"/>
        <family val="2"/>
      </rPr>
      <t xml:space="preserve">入力エラー・取得失敗を各画面で発生させる</t>
    </r>
  </si>
  <si>
    <t xml:space="preserve">入力エラーは入力欄直下、取得失敗は領域内＋再試行で統一されている</t>
  </si>
  <si>
    <t xml:space="preserve">ST-107</t>
  </si>
  <si>
    <t xml:space="preserve">破壊的操作</t>
  </si>
  <si>
    <t xml:space="preserve">警告色と確認</t>
  </si>
  <si>
    <t xml:space="preserve">ルーティン・メモ削除、退会</t>
  </si>
  <si>
    <r>
      <rPr>
        <sz val="10"/>
        <color rgb="FF000000"/>
        <rFont val="Yu Gothic"/>
        <family val="0"/>
        <charset val="1"/>
      </rPr>
      <t xml:space="preserve">1. </t>
    </r>
    <r>
      <rPr>
        <sz val="10"/>
        <color rgb="FF000000"/>
        <rFont val="Noto Sans CJK SC"/>
        <family val="2"/>
      </rPr>
      <t xml:space="preserve">各操作を確認する</t>
    </r>
  </si>
  <si>
    <t xml:space="preserve">警告色で表示され、必ず確認ダイアログを挟む</t>
  </si>
  <si>
    <t xml:space="preserve">要件2.2.10</t>
  </si>
  <si>
    <t xml:space="preserve">ST-108</t>
  </si>
  <si>
    <t xml:space="preserve">表記</t>
  </si>
  <si>
    <t xml:space="preserve">時刻・日付の表記</t>
  </si>
  <si>
    <t xml:space="preserve">全画面</t>
  </si>
  <si>
    <r>
      <rPr>
        <sz val="10"/>
        <color rgb="FF000000"/>
        <rFont val="Yu Gothic"/>
        <family val="0"/>
        <charset val="1"/>
      </rPr>
      <t xml:space="preserve">1. </t>
    </r>
    <r>
      <rPr>
        <sz val="10"/>
        <color rgb="FF000000"/>
        <rFont val="Noto Sans CJK SC"/>
        <family val="2"/>
      </rPr>
      <t xml:space="preserve">時刻表示を確認する</t>
    </r>
  </si>
  <si>
    <r>
      <rPr>
        <sz val="10"/>
        <color rgb="FF000000"/>
        <rFont val="Yu Gothic"/>
        <family val="0"/>
        <charset val="1"/>
      </rPr>
      <t xml:space="preserve">HH:mm</t>
    </r>
    <r>
      <rPr>
        <sz val="10"/>
        <color rgb="FF000000"/>
        <rFont val="Noto Sans CJK SC"/>
        <family val="2"/>
      </rPr>
      <t xml:space="preserve">（</t>
    </r>
    <r>
      <rPr>
        <sz val="10"/>
        <color rgb="FF000000"/>
        <rFont val="Yu Gothic"/>
        <family val="0"/>
        <charset val="1"/>
      </rPr>
      <t xml:space="preserve">24</t>
    </r>
    <r>
      <rPr>
        <sz val="10"/>
        <color rgb="FF000000"/>
        <rFont val="Noto Sans CJK SC"/>
        <family val="2"/>
      </rPr>
      <t xml:space="preserve">時間制）で統一されている</t>
    </r>
  </si>
  <si>
    <t xml:space="preserve">ST-109</t>
  </si>
  <si>
    <t xml:space="preserve">文言の統一</t>
  </si>
  <si>
    <r>
      <rPr>
        <sz val="10"/>
        <color rgb="FF000000"/>
        <rFont val="Yu Gothic"/>
        <family val="0"/>
        <charset val="1"/>
      </rPr>
      <t xml:space="preserve">1. </t>
    </r>
    <r>
      <rPr>
        <sz val="10"/>
        <color rgb="FF000000"/>
        <rFont val="Noto Sans CJK SC"/>
        <family val="2"/>
      </rPr>
      <t xml:space="preserve">画面文言・メッセージを確認する</t>
    </r>
  </si>
  <si>
    <t xml:space="preserve">用語集の表記と一致し、誤字・英語のままの文言がない</t>
  </si>
  <si>
    <t xml:space="preserve">ST-110</t>
  </si>
  <si>
    <t xml:space="preserve">フィードバック</t>
  </si>
  <si>
    <t xml:space="preserve">処理中・完了の表示</t>
  </si>
  <si>
    <r>
      <rPr>
        <sz val="10"/>
        <color rgb="FF000000"/>
        <rFont val="Yu Gothic"/>
        <family val="0"/>
        <charset val="1"/>
      </rPr>
      <t xml:space="preserve">1. </t>
    </r>
    <r>
      <rPr>
        <sz val="10"/>
        <color rgb="FF000000"/>
        <rFont val="Noto Sans CJK SC"/>
        <family val="2"/>
      </rPr>
      <t xml:space="preserve">保存・生成・同期を行う</t>
    </r>
  </si>
  <si>
    <t xml:space="preserve">処理中はローディング、完了はトーストで通知される</t>
  </si>
  <si>
    <t xml:space="preserve">ST-111</t>
  </si>
  <si>
    <t xml:space="preserve">準備のみ</t>
  </si>
  <si>
    <t xml:space="preserve">未提供機能の見え方</t>
  </si>
  <si>
    <r>
      <rPr>
        <sz val="10"/>
        <color rgb="FF000000"/>
        <rFont val="Yu Gothic"/>
        <family val="0"/>
        <charset val="1"/>
      </rPr>
      <t xml:space="preserve">1. </t>
    </r>
    <r>
      <rPr>
        <sz val="10"/>
        <color rgb="FF000000"/>
        <rFont val="Noto Sans CJK SC"/>
        <family val="2"/>
      </rPr>
      <t xml:space="preserve">音声入力・残り時間・延期・通知設定の表示を確認する</t>
    </r>
  </si>
  <si>
    <t xml:space="preserve">未提供であることが利用者に誤解なく伝わる（押しても何も起きない状態を避ける）</t>
  </si>
  <si>
    <t xml:space="preserve">要件2.1.1</t>
  </si>
  <si>
    <t xml:space="preserve">ST-112</t>
  </si>
  <si>
    <t xml:space="preserve">操作</t>
  </si>
  <si>
    <t xml:space="preserve">戻る動作</t>
  </si>
  <si>
    <t xml:space="preserve">モバイル実機・Web</t>
  </si>
  <si>
    <r>
      <rPr>
        <sz val="10"/>
        <color rgb="FF000000"/>
        <rFont val="Yu Gothic"/>
        <family val="0"/>
        <charset val="1"/>
      </rPr>
      <t xml:space="preserve">1. Android</t>
    </r>
    <r>
      <rPr>
        <sz val="10"/>
        <color rgb="FF000000"/>
        <rFont val="Noto Sans CJK SC"/>
        <family val="2"/>
      </rPr>
      <t xml:space="preserve">の戻るボタン、</t>
    </r>
    <r>
      <rPr>
        <sz val="10"/>
        <color rgb="FF000000"/>
        <rFont val="Yu Gothic"/>
        <family val="0"/>
        <charset val="1"/>
      </rPr>
      <t xml:space="preserve">iOS</t>
    </r>
    <r>
      <rPr>
        <sz val="10"/>
        <color rgb="FF000000"/>
        <rFont val="Noto Sans CJK SC"/>
        <family val="2"/>
      </rPr>
      <t xml:space="preserve">のスワイプ、ブラウザの戻るで各画面から戻る</t>
    </r>
  </si>
  <si>
    <t xml:space="preserve">想定どおりの画面に戻り、入力中データの扱いが一貫している</t>
  </si>
  <si>
    <t xml:space="preserve">要件2.1.2</t>
  </si>
  <si>
    <t xml:space="preserve">ST-113</t>
  </si>
  <si>
    <t xml:space="preserve">評価</t>
  </si>
  <si>
    <t xml:space="preserve">モニター評価</t>
  </si>
  <si>
    <t xml:space="preserve">社内モニター5名</t>
  </si>
  <si>
    <r>
      <rPr>
        <sz val="10"/>
        <color rgb="FF000000"/>
        <rFont val="Yu Gothic"/>
        <family val="0"/>
        <charset val="1"/>
      </rPr>
      <t xml:space="preserve">1. </t>
    </r>
    <r>
      <rPr>
        <sz val="10"/>
        <color rgb="FF000000"/>
        <rFont val="Noto Sans CJK SC"/>
        <family val="2"/>
      </rPr>
      <t xml:space="preserve">想定パターンを自由に試してもらい、アンケートを取る</t>
    </r>
  </si>
  <si>
    <t xml:space="preserve">「調べる手間が減る」と感じた割合など、評価結果を記録する</t>
  </si>
  <si>
    <t xml:space="preserve">見積書1.3</t>
  </si>
  <si>
    <t xml:space="preserve">ST-114</t>
  </si>
  <si>
    <t xml:space="preserve">時刻</t>
  </si>
  <si>
    <t xml:space="preserve">タイムゾーン</t>
  </si>
  <si>
    <t xml:space="preserve">端末のタイムゾーンを海外に設定</t>
  </si>
  <si>
    <r>
      <rPr>
        <sz val="10"/>
        <color rgb="FF000000"/>
        <rFont val="Yu Gothic"/>
        <family val="0"/>
        <charset val="1"/>
      </rPr>
      <t xml:space="preserve">1. </t>
    </r>
    <r>
      <rPr>
        <sz val="10"/>
        <color rgb="FF000000"/>
        <rFont val="Noto Sans CJK SC"/>
        <family val="2"/>
      </rPr>
      <t xml:space="preserve">計画を生成し表示する</t>
    </r>
  </si>
  <si>
    <t xml:space="preserve">日本時間で計画・表示される</t>
  </si>
  <si>
    <t xml:space="preserve">ST-115</t>
  </si>
  <si>
    <t xml:space="preserve">日付をまたぐ操作</t>
  </si>
  <si>
    <r>
      <rPr>
        <sz val="10"/>
        <color rgb="FF000000"/>
        <rFont val="Yu Gothic"/>
        <family val="0"/>
        <charset val="1"/>
      </rPr>
      <t xml:space="preserve">23:50</t>
    </r>
    <r>
      <rPr>
        <sz val="10"/>
        <color rgb="FF000000"/>
        <rFont val="Noto Sans CJK SC"/>
        <family val="2"/>
      </rPr>
      <t xml:space="preserve">に確認質問中</t>
    </r>
  </si>
  <si>
    <r>
      <rPr>
        <sz val="10"/>
        <color rgb="FF000000"/>
        <rFont val="Yu Gothic"/>
        <family val="0"/>
        <charset val="1"/>
      </rPr>
      <t xml:space="preserve">1. 0:00</t>
    </r>
    <r>
      <rPr>
        <sz val="10"/>
        <color rgb="FF000000"/>
        <rFont val="Noto Sans CJK SC"/>
        <family val="2"/>
      </rPr>
      <t xml:space="preserve">を過ぎてから回答する</t>
    </r>
  </si>
  <si>
    <t xml:space="preserve">計画日の扱い・生成上限のカウントが詳細設計どおりになる</t>
  </si>
  <si>
    <t xml:space="preserve">ST-116</t>
  </si>
  <si>
    <t xml:space="preserve">整合</t>
  </si>
  <si>
    <t xml:space="preserve">計画と項目の一貫性</t>
  </si>
  <si>
    <t xml:space="preserve">計画を修正・削除した後</t>
  </si>
  <si>
    <r>
      <rPr>
        <sz val="10"/>
        <color rgb="FF000000"/>
        <rFont val="Yu Gothic"/>
        <family val="0"/>
        <charset val="1"/>
      </rPr>
      <t xml:space="preserve">1. </t>
    </r>
    <r>
      <rPr>
        <sz val="10"/>
        <color rgb="FF000000"/>
        <rFont val="Noto Sans CJK SC"/>
        <family val="2"/>
      </rPr>
      <t xml:space="preserve">計画・項目・スロット評価の各テーブルを確認する</t>
    </r>
  </si>
  <si>
    <t xml:space="preserve">削除・再生成後も孤立したデータや順序の重複がない</t>
  </si>
  <si>
    <r>
      <rPr>
        <sz val="10"/>
        <color rgb="FF000000"/>
        <rFont val="Yu Gothic"/>
        <family val="0"/>
        <charset val="1"/>
      </rPr>
      <t xml:space="preserve">DB</t>
    </r>
    <r>
      <rPr>
        <sz val="10"/>
        <color rgb="FF000000"/>
        <rFont val="Noto Sans CJK SC"/>
        <family val="2"/>
      </rPr>
      <t xml:space="preserve">定義書</t>
    </r>
  </si>
  <si>
    <t xml:space="preserve">ST-117</t>
  </si>
  <si>
    <t xml:space="preserve">同時操作</t>
  </si>
  <si>
    <t xml:space="preserve">同一ユーザーで2端末</t>
  </si>
  <si>
    <r>
      <rPr>
        <sz val="10"/>
        <color rgb="FF000000"/>
        <rFont val="Yu Gothic"/>
        <family val="0"/>
        <charset val="1"/>
      </rPr>
      <t xml:space="preserve">1. </t>
    </r>
    <r>
      <rPr>
        <sz val="10"/>
        <color rgb="FF000000"/>
        <rFont val="Noto Sans CJK SC"/>
        <family val="2"/>
      </rPr>
      <t xml:space="preserve">同じ計画を</t>
    </r>
    <r>
      <rPr>
        <sz val="10"/>
        <color rgb="FF000000"/>
        <rFont val="Yu Gothic"/>
        <family val="0"/>
        <charset val="1"/>
      </rPr>
      <t xml:space="preserve">2</t>
    </r>
    <r>
      <rPr>
        <sz val="10"/>
        <color rgb="FF000000"/>
        <rFont val="Noto Sans CJK SC"/>
        <family val="2"/>
      </rPr>
      <t xml:space="preserve">端末で同時に修正する</t>
    </r>
  </si>
  <si>
    <t xml:space="preserve">データが壊れず、最後の結果が両端末で一致する</t>
  </si>
  <si>
    <t xml:space="preserve">ST-118</t>
  </si>
  <si>
    <t xml:space="preserve">プロファイル変更の即時反映</t>
  </si>
  <si>
    <r>
      <rPr>
        <sz val="10"/>
        <color rgb="FF000000"/>
        <rFont val="Yu Gothic"/>
        <family val="0"/>
        <charset val="1"/>
      </rPr>
      <t xml:space="preserve">Edge</t>
    </r>
    <r>
      <rPr>
        <sz val="10"/>
        <color rgb="FF000000"/>
        <rFont val="Noto Sans CJK SC"/>
        <family val="2"/>
      </rPr>
      <t xml:space="preserve">・</t>
    </r>
    <r>
      <rPr>
        <sz val="10"/>
        <color rgb="FF000000"/>
        <rFont val="Yu Gothic"/>
        <family val="0"/>
        <charset val="1"/>
      </rPr>
      <t xml:space="preserve">Chrome</t>
    </r>
  </si>
  <si>
    <r>
      <rPr>
        <sz val="10"/>
        <color rgb="FF000000"/>
        <rFont val="Yu Gothic"/>
        <family val="0"/>
        <charset val="1"/>
      </rPr>
      <t xml:space="preserve">1. Edge</t>
    </r>
    <r>
      <rPr>
        <sz val="10"/>
        <color rgb="FF000000"/>
        <rFont val="Noto Sans CJK SC"/>
        <family val="2"/>
      </rPr>
      <t xml:space="preserve">で自宅住所を変え、</t>
    </r>
    <r>
      <rPr>
        <sz val="10"/>
        <color rgb="FF000000"/>
        <rFont val="Yu Gothic"/>
        <family val="0"/>
        <charset val="1"/>
      </rPr>
      <t xml:space="preserve">Chrome</t>
    </r>
    <r>
      <rPr>
        <sz val="10"/>
        <color rgb="FF000000"/>
        <rFont val="Noto Sans CJK SC"/>
        <family val="2"/>
      </rPr>
      <t xml:space="preserve">で計画を生成する</t>
    </r>
  </si>
  <si>
    <t xml:space="preserve">新しい自宅を起点に計画される</t>
  </si>
  <si>
    <t xml:space="preserve">ST-119</t>
  </si>
  <si>
    <t xml:space="preserve">スコープ</t>
  </si>
  <si>
    <t xml:space="preserve">準備のみ機能がOFF</t>
  </si>
  <si>
    <t xml:space="preserve">本番環境</t>
  </si>
  <si>
    <r>
      <rPr>
        <sz val="10"/>
        <color rgb="FF000000"/>
        <rFont val="Yu Gothic"/>
        <family val="0"/>
        <charset val="1"/>
      </rPr>
      <t xml:space="preserve">1. Feature Flag</t>
    </r>
    <r>
      <rPr>
        <sz val="10"/>
        <color rgb="FF000000"/>
        <rFont val="Noto Sans CJK SC"/>
        <family val="2"/>
      </rPr>
      <t xml:space="preserve">設定を確認する</t>
    </r>
  </si>
  <si>
    <t xml:space="preserve">音声入力・出発アラート・延期再計画・出発検知・運行監視がすべてOFF</t>
  </si>
  <si>
    <t xml:space="preserve">ST-120</t>
  </si>
  <si>
    <t xml:space="preserve">本番</t>
  </si>
  <si>
    <t xml:space="preserve">本番スモーク</t>
  </si>
  <si>
    <t xml:space="preserve">本番環境リリース直後</t>
  </si>
  <si>
    <r>
      <rPr>
        <sz val="10"/>
        <color rgb="FF000000"/>
        <rFont val="Yu Gothic"/>
        <family val="0"/>
        <charset val="1"/>
      </rPr>
      <t xml:space="preserve">1. </t>
    </r>
    <r>
      <rPr>
        <sz val="10"/>
        <color rgb="FF000000"/>
        <rFont val="Noto Sans CJK SC"/>
        <family val="2"/>
      </rPr>
      <t xml:space="preserve">サインアップ・計画生成・メモ・退会を本番で</t>
    </r>
    <r>
      <rPr>
        <sz val="10"/>
        <color rgb="FF000000"/>
        <rFont val="Yu Gothic"/>
        <family val="0"/>
        <charset val="1"/>
      </rPr>
      <t xml:space="preserve">1</t>
    </r>
    <r>
      <rPr>
        <sz val="10"/>
        <color rgb="FF000000"/>
        <rFont val="Noto Sans CJK SC"/>
        <family val="2"/>
      </rPr>
      <t xml:space="preserve">回ずつ実施する</t>
    </r>
  </si>
  <si>
    <t xml:space="preserve">すべて正常に完了し、テストデータは削除される</t>
  </si>
  <si>
    <t xml:space="preserve">ST-121</t>
  </si>
  <si>
    <t xml:space="preserve">本番の監視・バックアップ有効化</t>
  </si>
  <si>
    <r>
      <rPr>
        <sz val="10"/>
        <color rgb="FF000000"/>
        <rFont val="Yu Gothic"/>
        <family val="0"/>
        <charset val="1"/>
      </rPr>
      <t xml:space="preserve">1. </t>
    </r>
    <r>
      <rPr>
        <sz val="10"/>
        <color rgb="FF000000"/>
        <rFont val="Noto Sans CJK SC"/>
        <family val="2"/>
      </rPr>
      <t xml:space="preserve">アラーム・バックアップ・ログ保持の設定を確認する</t>
    </r>
  </si>
  <si>
    <t xml:space="preserve">検証環境と同等に有効</t>
  </si>
  <si>
    <t xml:space="preserve">ST-122</t>
  </si>
  <si>
    <t xml:space="preserve">ドキュメント</t>
  </si>
  <si>
    <t xml:space="preserve">操作マニュアルとの整合</t>
  </si>
  <si>
    <t xml:space="preserve">操作マニュアル</t>
  </si>
  <si>
    <r>
      <rPr>
        <sz val="10"/>
        <color rgb="FF000000"/>
        <rFont val="Yu Gothic"/>
        <family val="0"/>
        <charset val="1"/>
      </rPr>
      <t xml:space="preserve">1. </t>
    </r>
    <r>
      <rPr>
        <sz val="10"/>
        <color rgb="FF000000"/>
        <rFont val="Noto Sans CJK SC"/>
        <family val="2"/>
      </rPr>
      <t xml:space="preserve">マニュアルの手順どおりに操作する</t>
    </r>
  </si>
  <si>
    <t xml:space="preserve">画面・手順・文言がマニュアルと一致する</t>
  </si>
  <si>
    <t xml:space="preserve">見積書8.3</t>
  </si>
  <si>
    <t xml:space="preserve">ST-123</t>
  </si>
  <si>
    <t xml:space="preserve">不具合</t>
  </si>
  <si>
    <t xml:space="preserve">未解決不具合の確認</t>
  </si>
  <si>
    <t xml:space="preserve">不具合管理表</t>
  </si>
  <si>
    <r>
      <rPr>
        <sz val="10"/>
        <color rgb="FF000000"/>
        <rFont val="Yu Gothic"/>
        <family val="0"/>
        <charset val="1"/>
      </rPr>
      <t xml:space="preserve">1. </t>
    </r>
    <r>
      <rPr>
        <sz val="10"/>
        <color rgb="FF000000"/>
        <rFont val="Noto Sans CJK SC"/>
        <family val="2"/>
      </rPr>
      <t xml:space="preserve">未解決の不具合を確認する</t>
    </r>
  </si>
  <si>
    <t xml:space="preserve">重大度高の未解決がなく、残りは既知事項として承認されている</t>
  </si>
  <si>
    <t xml:space="preserve">ST-124</t>
  </si>
  <si>
    <t xml:space="preserve">入力バリエーション</t>
  </si>
  <si>
    <t xml:space="preserve">通院後に薬局</t>
  </si>
  <si>
    <r>
      <rPr>
        <sz val="10"/>
        <color rgb="FF000000"/>
        <rFont val="Yu Gothic"/>
        <family val="0"/>
        <charset val="1"/>
      </rPr>
      <t xml:space="preserve">1. </t>
    </r>
    <r>
      <rPr>
        <sz val="10"/>
        <color rgb="FF000000"/>
        <rFont val="Noto Sans CJK SC"/>
        <family val="2"/>
      </rPr>
      <t xml:space="preserve">「</t>
    </r>
    <r>
      <rPr>
        <sz val="10"/>
        <color rgb="FF000000"/>
        <rFont val="Yu Gothic"/>
        <family val="0"/>
        <charset val="1"/>
      </rPr>
      <t xml:space="preserve">10</t>
    </r>
    <r>
      <rPr>
        <sz val="10"/>
        <color rgb="FF000000"/>
        <rFont val="Noto Sans CJK SC"/>
        <family val="2"/>
      </rPr>
      <t xml:space="preserve">時に駅前の内科、終わったら薬局で薬を受け取って帰る」で計画を生成する
</t>
    </r>
    <r>
      <rPr>
        <sz val="10"/>
        <color rgb="FF000000"/>
        <rFont val="Yu Gothic"/>
        <family val="0"/>
        <charset val="1"/>
      </rPr>
      <t xml:space="preserve">2. </t>
    </r>
    <r>
      <rPr>
        <sz val="10"/>
        <color rgb="FF000000"/>
        <rFont val="Noto Sans CJK SC"/>
        <family val="2"/>
      </rPr>
      <t xml:space="preserve">結果を外部サービスの情報と照合する</t>
    </r>
  </si>
  <si>
    <t xml:space="preserve">診察時間の目安を置き、薬局が営業中かつ帰路上にある</t>
  </si>
  <si>
    <t xml:space="preserve">見積書1.2／要件1.2</t>
  </si>
  <si>
    <t xml:space="preserve">ST-125</t>
  </si>
  <si>
    <t xml:space="preserve">子どもの迎え前の買い物</t>
  </si>
  <si>
    <r>
      <rPr>
        <sz val="10"/>
        <color rgb="FF000000"/>
        <rFont val="Yu Gothic"/>
        <family val="0"/>
        <charset val="1"/>
      </rPr>
      <t xml:space="preserve">1. </t>
    </r>
    <r>
      <rPr>
        <sz val="10"/>
        <color rgb="FF000000"/>
        <rFont val="Noto Sans CJK SC"/>
        <family val="2"/>
      </rPr>
      <t xml:space="preserve">「</t>
    </r>
    <r>
      <rPr>
        <sz val="10"/>
        <color rgb="FF000000"/>
        <rFont val="Yu Gothic"/>
        <family val="0"/>
        <charset val="1"/>
      </rPr>
      <t xml:space="preserve">15</t>
    </r>
    <r>
      <rPr>
        <sz val="10"/>
        <color rgb="FF000000"/>
        <rFont val="Noto Sans CJK SC"/>
        <family val="2"/>
      </rPr>
      <t xml:space="preserve">時に保育園のお迎え。その前に駅前で夕飯の買い物」で計画を生成する
</t>
    </r>
    <r>
      <rPr>
        <sz val="10"/>
        <color rgb="FF000000"/>
        <rFont val="Yu Gothic"/>
        <family val="0"/>
        <charset val="1"/>
      </rPr>
      <t xml:space="preserve">2. </t>
    </r>
    <r>
      <rPr>
        <sz val="10"/>
        <color rgb="FF000000"/>
        <rFont val="Noto Sans CJK SC"/>
        <family val="2"/>
      </rPr>
      <t xml:space="preserve">結果を外部サービスの情報と照合する</t>
    </r>
  </si>
  <si>
    <t xml:space="preserve">お迎え時刻に遅れない範囲で買い物が組まれる</t>
  </si>
  <si>
    <t xml:space="preserve">ST-126</t>
  </si>
  <si>
    <t xml:space="preserve">複数の待ち合わせ</t>
  </si>
  <si>
    <r>
      <rPr>
        <sz val="10"/>
        <color rgb="FF000000"/>
        <rFont val="Yu Gothic"/>
        <family val="0"/>
        <charset val="1"/>
      </rPr>
      <t xml:space="preserve">1. </t>
    </r>
    <r>
      <rPr>
        <sz val="10"/>
        <color rgb="FF000000"/>
        <rFont val="Noto Sans CJK SC"/>
        <family val="2"/>
      </rPr>
      <t xml:space="preserve">「</t>
    </r>
    <r>
      <rPr>
        <sz val="10"/>
        <color rgb="FF000000"/>
        <rFont val="Yu Gothic"/>
        <family val="0"/>
        <charset val="1"/>
      </rPr>
      <t xml:space="preserve">11</t>
    </r>
    <r>
      <rPr>
        <sz val="10"/>
        <color rgb="FF000000"/>
        <rFont val="Noto Sans CJK SC"/>
        <family val="2"/>
      </rPr>
      <t xml:space="preserve">時に渋谷で打ち合わせ、</t>
    </r>
    <r>
      <rPr>
        <sz val="10"/>
        <color rgb="FF000000"/>
        <rFont val="Yu Gothic"/>
        <family val="0"/>
        <charset val="1"/>
      </rPr>
      <t xml:space="preserve">14</t>
    </r>
    <r>
      <rPr>
        <sz val="10"/>
        <color rgb="FF000000"/>
        <rFont val="Noto Sans CJK SC"/>
        <family val="2"/>
      </rPr>
      <t xml:space="preserve">時に新宿で別の打ち合わせ」で計画を生成する
</t>
    </r>
    <r>
      <rPr>
        <sz val="10"/>
        <color rgb="FF000000"/>
        <rFont val="Yu Gothic"/>
        <family val="0"/>
        <charset val="1"/>
      </rPr>
      <t xml:space="preserve">2. </t>
    </r>
    <r>
      <rPr>
        <sz val="10"/>
        <color rgb="FF000000"/>
        <rFont val="Noto Sans CJK SC"/>
        <family val="2"/>
      </rPr>
      <t xml:space="preserve">結果を外部サービスの情報と照合する</t>
    </r>
  </si>
  <si>
    <t xml:space="preserve">両方に間に合い、移動時間が現実的</t>
  </si>
  <si>
    <t xml:space="preserve">ST-127</t>
  </si>
  <si>
    <t xml:space="preserve">食事を含む予定</t>
  </si>
  <si>
    <r>
      <rPr>
        <sz val="10"/>
        <color rgb="FF000000"/>
        <rFont val="Yu Gothic"/>
        <family val="0"/>
        <charset val="1"/>
      </rPr>
      <t xml:space="preserve">1. </t>
    </r>
    <r>
      <rPr>
        <sz val="10"/>
        <color rgb="FF000000"/>
        <rFont val="Noto Sans CJK SC"/>
        <family val="2"/>
      </rPr>
      <t xml:space="preserve">「</t>
    </r>
    <r>
      <rPr>
        <sz val="10"/>
        <color rgb="FF000000"/>
        <rFont val="Yu Gothic"/>
        <family val="0"/>
        <charset val="1"/>
      </rPr>
      <t xml:space="preserve">12</t>
    </r>
    <r>
      <rPr>
        <sz val="10"/>
        <color rgb="FF000000"/>
        <rFont val="Noto Sans CJK SC"/>
        <family val="2"/>
      </rPr>
      <t xml:space="preserve">時に池袋で友人とランチ、そのあと本屋に寄る」で計画を生成する
</t>
    </r>
    <r>
      <rPr>
        <sz val="10"/>
        <color rgb="FF000000"/>
        <rFont val="Yu Gothic"/>
        <family val="0"/>
        <charset val="1"/>
      </rPr>
      <t xml:space="preserve">2. </t>
    </r>
    <r>
      <rPr>
        <sz val="10"/>
        <color rgb="FF000000"/>
        <rFont val="Noto Sans CJK SC"/>
        <family val="2"/>
      </rPr>
      <t xml:space="preserve">結果を外部サービスの情報と照合する</t>
    </r>
  </si>
  <si>
    <t xml:space="preserve">食事スロットの時間が確保され、その後の立寄りが続く</t>
  </si>
  <si>
    <t xml:space="preserve">ST-128</t>
  </si>
  <si>
    <t xml:space="preserve">住所指定の目的地</t>
  </si>
  <si>
    <r>
      <rPr>
        <sz val="10"/>
        <color rgb="FF000000"/>
        <rFont val="Yu Gothic"/>
        <family val="0"/>
        <charset val="1"/>
      </rPr>
      <t xml:space="preserve">1. </t>
    </r>
    <r>
      <rPr>
        <sz val="10"/>
        <color rgb="FF000000"/>
        <rFont val="Noto Sans CJK SC"/>
        <family val="2"/>
      </rPr>
      <t xml:space="preserve">「</t>
    </r>
    <r>
      <rPr>
        <sz val="10"/>
        <color rgb="FF000000"/>
        <rFont val="Yu Gothic"/>
        <family val="0"/>
        <charset val="1"/>
      </rPr>
      <t xml:space="preserve">13</t>
    </r>
    <r>
      <rPr>
        <sz val="10"/>
        <color rgb="FF000000"/>
        <rFont val="Noto Sans CJK SC"/>
        <family val="2"/>
      </rPr>
      <t xml:space="preserve">時に千代田区丸の内</t>
    </r>
    <r>
      <rPr>
        <sz val="10"/>
        <color rgb="FF000000"/>
        <rFont val="Yu Gothic"/>
        <family val="0"/>
        <charset val="1"/>
      </rPr>
      <t xml:space="preserve">1-9-1</t>
    </r>
    <r>
      <rPr>
        <sz val="10"/>
        <color rgb="FF000000"/>
        <rFont val="Noto Sans CJK SC"/>
        <family val="2"/>
      </rPr>
      <t xml:space="preserve">に行く」で計画を生成する
</t>
    </r>
    <r>
      <rPr>
        <sz val="10"/>
        <color rgb="FF000000"/>
        <rFont val="Yu Gothic"/>
        <family val="0"/>
        <charset val="1"/>
      </rPr>
      <t xml:space="preserve">2. </t>
    </r>
    <r>
      <rPr>
        <sz val="10"/>
        <color rgb="FF000000"/>
        <rFont val="Noto Sans CJK SC"/>
        <family val="2"/>
      </rPr>
      <t xml:space="preserve">結果を外部サービスの情報と照合する</t>
    </r>
  </si>
  <si>
    <t xml:space="preserve">住所がGeocodingで正しく解決される</t>
  </si>
  <si>
    <t xml:space="preserve">ST-129</t>
  </si>
  <si>
    <t xml:space="preserve">施設名の目的地</t>
  </si>
  <si>
    <r>
      <rPr>
        <sz val="10"/>
        <color rgb="FF000000"/>
        <rFont val="Yu Gothic"/>
        <family val="0"/>
        <charset val="1"/>
      </rPr>
      <t xml:space="preserve">1. </t>
    </r>
    <r>
      <rPr>
        <sz val="10"/>
        <color rgb="FF000000"/>
        <rFont val="Noto Sans CJK SC"/>
        <family val="2"/>
      </rPr>
      <t xml:space="preserve">「東京ドームで</t>
    </r>
    <r>
      <rPr>
        <sz val="10"/>
        <color rgb="FF000000"/>
        <rFont val="Yu Gothic"/>
        <family val="0"/>
        <charset val="1"/>
      </rPr>
      <t xml:space="preserve">18</t>
    </r>
    <r>
      <rPr>
        <sz val="10"/>
        <color rgb="FF000000"/>
        <rFont val="Noto Sans CJK SC"/>
        <family val="2"/>
      </rPr>
      <t xml:space="preserve">時からのイベント」で計画を生成する
</t>
    </r>
    <r>
      <rPr>
        <sz val="10"/>
        <color rgb="FF000000"/>
        <rFont val="Yu Gothic"/>
        <family val="0"/>
        <charset val="1"/>
      </rPr>
      <t xml:space="preserve">2. </t>
    </r>
    <r>
      <rPr>
        <sz val="10"/>
        <color rgb="FF000000"/>
        <rFont val="Noto Sans CJK SC"/>
        <family val="2"/>
      </rPr>
      <t xml:space="preserve">結果を外部サービスの情報と照合する</t>
    </r>
  </si>
  <si>
    <t xml:space="preserve">施設が正しく特定され、最寄り駅・出口が提示される</t>
  </si>
  <si>
    <t xml:space="preserve">ST-130</t>
  </si>
  <si>
    <t xml:space="preserve">同名の地名</t>
  </si>
  <si>
    <r>
      <rPr>
        <sz val="10"/>
        <color rgb="FF000000"/>
        <rFont val="Yu Gothic"/>
        <family val="0"/>
        <charset val="1"/>
      </rPr>
      <t xml:space="preserve">1. </t>
    </r>
    <r>
      <rPr>
        <sz val="10"/>
        <color rgb="FF000000"/>
        <rFont val="Noto Sans CJK SC"/>
        <family val="2"/>
      </rPr>
      <t xml:space="preserve">「府中に</t>
    </r>
    <r>
      <rPr>
        <sz val="10"/>
        <color rgb="FF000000"/>
        <rFont val="Yu Gothic"/>
        <family val="0"/>
        <charset val="1"/>
      </rPr>
      <t xml:space="preserve">10</t>
    </r>
    <r>
      <rPr>
        <sz val="10"/>
        <color rgb="FF000000"/>
        <rFont val="Noto Sans CJK SC"/>
        <family val="2"/>
      </rPr>
      <t xml:space="preserve">時」で計画を生成する
</t>
    </r>
    <r>
      <rPr>
        <sz val="10"/>
        <color rgb="FF000000"/>
        <rFont val="Yu Gothic"/>
        <family val="0"/>
        <charset val="1"/>
      </rPr>
      <t xml:space="preserve">2. </t>
    </r>
    <r>
      <rPr>
        <sz val="10"/>
        <color rgb="FF000000"/>
        <rFont val="Noto Sans CJK SC"/>
        <family val="2"/>
      </rPr>
      <t xml:space="preserve">結果を外部サービスの情報と照合する</t>
    </r>
  </si>
  <si>
    <t xml:space="preserve">府中（東京）と府中（広島）など曖昧な場合は確認質問が出る</t>
  </si>
  <si>
    <t xml:space="preserve">ST-131</t>
  </si>
  <si>
    <t xml:space="preserve">時刻表現の揺れ</t>
  </si>
  <si>
    <r>
      <rPr>
        <sz val="10"/>
        <color rgb="FF000000"/>
        <rFont val="Yu Gothic"/>
        <family val="0"/>
        <charset val="1"/>
      </rPr>
      <t xml:space="preserve">1. </t>
    </r>
    <r>
      <rPr>
        <sz val="10"/>
        <color rgb="FF000000"/>
        <rFont val="Noto Sans CJK SC"/>
        <family val="2"/>
      </rPr>
      <t xml:space="preserve">「午後</t>
    </r>
    <r>
      <rPr>
        <sz val="10"/>
        <color rgb="FF000000"/>
        <rFont val="Yu Gothic"/>
        <family val="0"/>
        <charset val="1"/>
      </rPr>
      <t xml:space="preserve">1</t>
    </r>
    <r>
      <rPr>
        <sz val="10"/>
        <color rgb="FF000000"/>
        <rFont val="Noto Sans CJK SC"/>
        <family val="2"/>
      </rPr>
      <t xml:space="preserve">時半に」「</t>
    </r>
    <r>
      <rPr>
        <sz val="10"/>
        <color rgb="FF000000"/>
        <rFont val="Yu Gothic"/>
        <family val="0"/>
        <charset val="1"/>
      </rPr>
      <t xml:space="preserve">13</t>
    </r>
    <r>
      <rPr>
        <sz val="10"/>
        <color rgb="FF000000"/>
        <rFont val="Noto Sans CJK SC"/>
        <family val="2"/>
      </rPr>
      <t xml:space="preserve">時</t>
    </r>
    <r>
      <rPr>
        <sz val="10"/>
        <color rgb="FF000000"/>
        <rFont val="Yu Gothic"/>
        <family val="0"/>
        <charset val="1"/>
      </rPr>
      <t xml:space="preserve">30</t>
    </r>
    <r>
      <rPr>
        <sz val="10"/>
        <color rgb="FF000000"/>
        <rFont val="Noto Sans CJK SC"/>
        <family val="2"/>
      </rPr>
      <t xml:space="preserve">分」「</t>
    </r>
    <r>
      <rPr>
        <sz val="10"/>
        <color rgb="FF000000"/>
        <rFont val="Yu Gothic"/>
        <family val="0"/>
        <charset val="1"/>
      </rPr>
      <t xml:space="preserve">1</t>
    </r>
    <r>
      <rPr>
        <sz val="10"/>
        <color rgb="FF000000"/>
        <rFont val="Noto Sans CJK SC"/>
        <family val="2"/>
      </rPr>
      <t xml:space="preserve">時半（昼）」で計画を生成する
</t>
    </r>
    <r>
      <rPr>
        <sz val="10"/>
        <color rgb="FF000000"/>
        <rFont val="Yu Gothic"/>
        <family val="0"/>
        <charset val="1"/>
      </rPr>
      <t xml:space="preserve">2. </t>
    </r>
    <r>
      <rPr>
        <sz val="10"/>
        <color rgb="FF000000"/>
        <rFont val="Noto Sans CJK SC"/>
        <family val="2"/>
      </rPr>
      <t xml:space="preserve">結果を外部サービスの情報と照合する</t>
    </r>
  </si>
  <si>
    <t xml:space="preserve">いずれも13:30として解釈される</t>
  </si>
  <si>
    <t xml:space="preserve">ST-132</t>
  </si>
  <si>
    <t xml:space="preserve">相対時刻</t>
  </si>
  <si>
    <r>
      <rPr>
        <sz val="10"/>
        <color rgb="FF000000"/>
        <rFont val="Yu Gothic"/>
        <family val="0"/>
        <charset val="1"/>
      </rPr>
      <t xml:space="preserve">1. </t>
    </r>
    <r>
      <rPr>
        <sz val="10"/>
        <color rgb="FF000000"/>
        <rFont val="Noto Sans CJK SC"/>
        <family val="2"/>
      </rPr>
      <t xml:space="preserve">「</t>
    </r>
    <r>
      <rPr>
        <sz val="10"/>
        <color rgb="FF000000"/>
        <rFont val="Yu Gothic"/>
        <family val="0"/>
        <charset val="1"/>
      </rPr>
      <t xml:space="preserve">1</t>
    </r>
    <r>
      <rPr>
        <sz val="10"/>
        <color rgb="FF000000"/>
        <rFont val="Noto Sans CJK SC"/>
        <family val="2"/>
      </rPr>
      <t xml:space="preserve">時間後に駅で待ち合わせ」で計画を生成する
</t>
    </r>
    <r>
      <rPr>
        <sz val="10"/>
        <color rgb="FF000000"/>
        <rFont val="Yu Gothic"/>
        <family val="0"/>
        <charset val="1"/>
      </rPr>
      <t xml:space="preserve">2. </t>
    </r>
    <r>
      <rPr>
        <sz val="10"/>
        <color rgb="FF000000"/>
        <rFont val="Noto Sans CJK SC"/>
        <family val="2"/>
      </rPr>
      <t xml:space="preserve">結果を外部サービスの情報と照合する</t>
    </r>
  </si>
  <si>
    <t xml:space="preserve">現在時刻からの相対時刻が正しく解釈される</t>
  </si>
  <si>
    <t xml:space="preserve">ST-133</t>
  </si>
  <si>
    <t xml:space="preserve">到着ではなく出発時刻の指定</t>
  </si>
  <si>
    <r>
      <rPr>
        <sz val="10"/>
        <color rgb="FF000000"/>
        <rFont val="Yu Gothic"/>
        <family val="0"/>
        <charset val="1"/>
      </rPr>
      <t xml:space="preserve">1. </t>
    </r>
    <r>
      <rPr>
        <sz val="10"/>
        <color rgb="FF000000"/>
        <rFont val="Noto Sans CJK SC"/>
        <family val="2"/>
      </rPr>
      <t xml:space="preserve">「</t>
    </r>
    <r>
      <rPr>
        <sz val="10"/>
        <color rgb="FF000000"/>
        <rFont val="Yu Gothic"/>
        <family val="0"/>
        <charset val="1"/>
      </rPr>
      <t xml:space="preserve">9</t>
    </r>
    <r>
      <rPr>
        <sz val="10"/>
        <color rgb="FF000000"/>
        <rFont val="Noto Sans CJK SC"/>
        <family val="2"/>
      </rPr>
      <t xml:space="preserve">時に家を出て病院に行く」で計画を生成する
</t>
    </r>
    <r>
      <rPr>
        <sz val="10"/>
        <color rgb="FF000000"/>
        <rFont val="Yu Gothic"/>
        <family val="0"/>
        <charset val="1"/>
      </rPr>
      <t xml:space="preserve">2. </t>
    </r>
    <r>
      <rPr>
        <sz val="10"/>
        <color rgb="FF000000"/>
        <rFont val="Noto Sans CJK SC"/>
        <family val="2"/>
      </rPr>
      <t xml:space="preserve">結果を外部サービスの情報と照合する</t>
    </r>
  </si>
  <si>
    <t xml:space="preserve">出発時刻固定で以降が組まれる</t>
  </si>
  <si>
    <t xml:space="preserve">ST-134</t>
  </si>
  <si>
    <t xml:space="preserve">用事の所要時間指定</t>
  </si>
  <si>
    <r>
      <rPr>
        <sz val="10"/>
        <color rgb="FF000000"/>
        <rFont val="Yu Gothic"/>
        <family val="0"/>
        <charset val="1"/>
      </rPr>
      <t xml:space="preserve">1. </t>
    </r>
    <r>
      <rPr>
        <sz val="10"/>
        <color rgb="FF000000"/>
        <rFont val="Noto Sans CJK SC"/>
        <family val="2"/>
      </rPr>
      <t xml:space="preserve">「美容院（</t>
    </r>
    <r>
      <rPr>
        <sz val="10"/>
        <color rgb="FF000000"/>
        <rFont val="Yu Gothic"/>
        <family val="0"/>
        <charset val="1"/>
      </rPr>
      <t xml:space="preserve">2</t>
    </r>
    <r>
      <rPr>
        <sz val="10"/>
        <color rgb="FF000000"/>
        <rFont val="Noto Sans CJK SC"/>
        <family val="2"/>
      </rPr>
      <t xml:space="preserve">時間）に</t>
    </r>
    <r>
      <rPr>
        <sz val="10"/>
        <color rgb="FF000000"/>
        <rFont val="Yu Gothic"/>
        <family val="0"/>
        <charset val="1"/>
      </rPr>
      <t xml:space="preserve">11</t>
    </r>
    <r>
      <rPr>
        <sz val="10"/>
        <color rgb="FF000000"/>
        <rFont val="Noto Sans CJK SC"/>
        <family val="2"/>
      </rPr>
      <t xml:space="preserve">時から」で計画を生成する
</t>
    </r>
    <r>
      <rPr>
        <sz val="10"/>
        <color rgb="FF000000"/>
        <rFont val="Yu Gothic"/>
        <family val="0"/>
        <charset val="1"/>
      </rPr>
      <t xml:space="preserve">2. </t>
    </r>
    <r>
      <rPr>
        <sz val="10"/>
        <color rgb="FF000000"/>
        <rFont val="Noto Sans CJK SC"/>
        <family val="2"/>
      </rPr>
      <t xml:space="preserve">結果を外部サービスの情報と照合する</t>
    </r>
  </si>
  <si>
    <t xml:space="preserve">所要時間が反映され、その後の予定が2時間後以降になる</t>
  </si>
  <si>
    <t xml:space="preserve">ST-135</t>
  </si>
  <si>
    <t xml:space="preserve">営業時間外のみの店舗</t>
  </si>
  <si>
    <r>
      <rPr>
        <sz val="10"/>
        <color rgb="FF000000"/>
        <rFont val="Yu Gothic"/>
        <family val="0"/>
        <charset val="1"/>
      </rPr>
      <t xml:space="preserve">1. </t>
    </r>
    <r>
      <rPr>
        <sz val="10"/>
        <color rgb="FF000000"/>
        <rFont val="Noto Sans CJK SC"/>
        <family val="2"/>
      </rPr>
      <t xml:space="preserve">深夜に開いていない店の買い物を指定で計画を生成する
</t>
    </r>
    <r>
      <rPr>
        <sz val="10"/>
        <color rgb="FF000000"/>
        <rFont val="Yu Gothic"/>
        <family val="0"/>
        <charset val="1"/>
      </rPr>
      <t xml:space="preserve">2. </t>
    </r>
    <r>
      <rPr>
        <sz val="10"/>
        <color rgb="FF000000"/>
        <rFont val="Noto Sans CJK SC"/>
        <family val="2"/>
      </rPr>
      <t xml:space="preserve">結果を外部サービスの情報と照合する</t>
    </r>
  </si>
  <si>
    <t xml:space="preserve">買えない旨が示され、別の店や別日の提案が出る（推測で営業中扱いしない）</t>
  </si>
  <si>
    <t xml:space="preserve">ST-136</t>
  </si>
  <si>
    <t xml:space="preserve">徒歩圏の短距離</t>
  </si>
  <si>
    <r>
      <rPr>
        <sz val="10"/>
        <color rgb="FF000000"/>
        <rFont val="Yu Gothic"/>
        <family val="0"/>
        <charset val="1"/>
      </rPr>
      <t xml:space="preserve">1. </t>
    </r>
    <r>
      <rPr>
        <sz val="10"/>
        <color rgb="FF000000"/>
        <rFont val="Noto Sans CJK SC"/>
        <family val="2"/>
      </rPr>
      <t xml:space="preserve">自宅から</t>
    </r>
    <r>
      <rPr>
        <sz val="10"/>
        <color rgb="FF000000"/>
        <rFont val="Yu Gothic"/>
        <family val="0"/>
        <charset val="1"/>
      </rPr>
      <t xml:space="preserve">500m</t>
    </r>
    <r>
      <rPr>
        <sz val="10"/>
        <color rgb="FF000000"/>
        <rFont val="Noto Sans CJK SC"/>
        <family val="2"/>
      </rPr>
      <t xml:space="preserve">の店だけの買い物で計画を生成する
</t>
    </r>
    <r>
      <rPr>
        <sz val="10"/>
        <color rgb="FF000000"/>
        <rFont val="Yu Gothic"/>
        <family val="0"/>
        <charset val="1"/>
      </rPr>
      <t xml:space="preserve">2. </t>
    </r>
    <r>
      <rPr>
        <sz val="10"/>
        <color rgb="FF000000"/>
        <rFont val="Noto Sans CJK SC"/>
        <family val="2"/>
      </rPr>
      <t xml:space="preserve">結果を外部サービスの情報と照合する</t>
    </r>
  </si>
  <si>
    <t xml:space="preserve">電車を使わず徒歩で計画される</t>
  </si>
  <si>
    <t xml:space="preserve">ST-137</t>
  </si>
  <si>
    <t xml:space="preserve">長距離</t>
  </si>
  <si>
    <r>
      <rPr>
        <sz val="10"/>
        <color rgb="FF000000"/>
        <rFont val="Yu Gothic"/>
        <family val="0"/>
        <charset val="1"/>
      </rPr>
      <t xml:space="preserve">1. </t>
    </r>
    <r>
      <rPr>
        <sz val="10"/>
        <color rgb="FF000000"/>
        <rFont val="Noto Sans CJK SC"/>
        <family val="2"/>
      </rPr>
      <t xml:space="preserve">「横浜から成田空港へ」で計画を生成する
</t>
    </r>
    <r>
      <rPr>
        <sz val="10"/>
        <color rgb="FF000000"/>
        <rFont val="Yu Gothic"/>
        <family val="0"/>
        <charset val="1"/>
      </rPr>
      <t xml:space="preserve">2. </t>
    </r>
    <r>
      <rPr>
        <sz val="10"/>
        <color rgb="FF000000"/>
        <rFont val="Noto Sans CJK SC"/>
        <family val="2"/>
      </rPr>
      <t xml:space="preserve">結果を外部サービスの情報と照合する</t>
    </r>
  </si>
  <si>
    <t xml:space="preserve">乗換の多い経路でも出発時刻が正しく逆算される</t>
  </si>
  <si>
    <t xml:space="preserve">ST-138</t>
  </si>
  <si>
    <t xml:space="preserve">雨天等の考慮要望</t>
  </si>
  <si>
    <r>
      <rPr>
        <sz val="10"/>
        <color rgb="FF000000"/>
        <rFont val="Yu Gothic"/>
        <family val="0"/>
        <charset val="1"/>
      </rPr>
      <t xml:space="preserve">1. </t>
    </r>
    <r>
      <rPr>
        <sz val="10"/>
        <color rgb="FF000000"/>
        <rFont val="Noto Sans CJK SC"/>
        <family val="2"/>
      </rPr>
      <t xml:space="preserve">「雨なので歩く距離を少なく」で計画を生成する
</t>
    </r>
    <r>
      <rPr>
        <sz val="10"/>
        <color rgb="FF000000"/>
        <rFont val="Yu Gothic"/>
        <family val="0"/>
        <charset val="1"/>
      </rPr>
      <t xml:space="preserve">2. </t>
    </r>
    <r>
      <rPr>
        <sz val="10"/>
        <color rgb="FF000000"/>
        <rFont val="Noto Sans CJK SC"/>
        <family val="2"/>
      </rPr>
      <t xml:space="preserve">結果を外部サービスの情報と照合する</t>
    </r>
  </si>
  <si>
    <t xml:space="preserve">徒歩距離が少ない経路・出口が優先される（対応範囲は詳細設計どおり）</t>
  </si>
  <si>
    <t xml:space="preserve">ST-139</t>
  </si>
  <si>
    <t xml:space="preserve">ポイントプログラム指定</t>
  </si>
  <si>
    <r>
      <rPr>
        <sz val="10"/>
        <color rgb="FF000000"/>
        <rFont val="Yu Gothic"/>
        <family val="0"/>
        <charset val="1"/>
      </rPr>
      <t xml:space="preserve">1. </t>
    </r>
    <r>
      <rPr>
        <sz val="10"/>
        <color rgb="FF000000"/>
        <rFont val="Noto Sans CJK SC"/>
        <family val="2"/>
      </rPr>
      <t xml:space="preserve">「◯◯ポイントが貯まる店で日用品」で計画を生成する
</t>
    </r>
    <r>
      <rPr>
        <sz val="10"/>
        <color rgb="FF000000"/>
        <rFont val="Yu Gothic"/>
        <family val="0"/>
        <charset val="1"/>
      </rPr>
      <t xml:space="preserve">2. </t>
    </r>
    <r>
      <rPr>
        <sz val="10"/>
        <color rgb="FF000000"/>
        <rFont val="Noto Sans CJK SC"/>
        <family val="2"/>
      </rPr>
      <t xml:space="preserve">結果を外部サービスの情報と照合する</t>
    </r>
  </si>
  <si>
    <t xml:space="preserve">有効化済みポイントプログラム対象の実在店舗が選ばれる</t>
  </si>
  <si>
    <t xml:space="preserve">ST-140</t>
  </si>
  <si>
    <t xml:space="preserve">節約重視での運賃</t>
  </si>
  <si>
    <r>
      <rPr>
        <sz val="10"/>
        <color rgb="FF000000"/>
        <rFont val="Yu Gothic"/>
        <family val="0"/>
        <charset val="1"/>
      </rPr>
      <t xml:space="preserve">1. </t>
    </r>
    <r>
      <rPr>
        <sz val="10"/>
        <color rgb="FF000000"/>
        <rFont val="Noto Sans CJK SC"/>
        <family val="2"/>
      </rPr>
      <t xml:space="preserve">節約重視で、同じ区間の計画を生成する
</t>
    </r>
    <r>
      <rPr>
        <sz val="10"/>
        <color rgb="FF000000"/>
        <rFont val="Yu Gothic"/>
        <family val="0"/>
        <charset val="1"/>
      </rPr>
      <t xml:space="preserve">2. </t>
    </r>
    <r>
      <rPr>
        <sz val="10"/>
        <color rgb="FF000000"/>
        <rFont val="Noto Sans CJK SC"/>
        <family val="2"/>
      </rPr>
      <t xml:space="preserve">結果を外部サービスの情報と照合する</t>
    </r>
  </si>
  <si>
    <t xml:space="preserve">運賃の安い経路が選ばれ、運賃が表示される</t>
  </si>
  <si>
    <t xml:space="preserve">ST-141</t>
  </si>
  <si>
    <t xml:space="preserve">曖昧な買い物</t>
  </si>
  <si>
    <r>
      <rPr>
        <sz val="10"/>
        <color rgb="FF000000"/>
        <rFont val="Yu Gothic"/>
        <family val="0"/>
        <charset val="1"/>
      </rPr>
      <t xml:space="preserve">1. </t>
    </r>
    <r>
      <rPr>
        <sz val="10"/>
        <color rgb="FF000000"/>
        <rFont val="Noto Sans CJK SC"/>
        <family val="2"/>
      </rPr>
      <t xml:space="preserve">「何か甘いものを買いたい」で計画を生成する
</t>
    </r>
    <r>
      <rPr>
        <sz val="10"/>
        <color rgb="FF000000"/>
        <rFont val="Yu Gothic"/>
        <family val="0"/>
        <charset val="1"/>
      </rPr>
      <t xml:space="preserve">2. </t>
    </r>
    <r>
      <rPr>
        <sz val="10"/>
        <color rgb="FF000000"/>
        <rFont val="Noto Sans CJK SC"/>
        <family val="2"/>
      </rPr>
      <t xml:space="preserve">結果を外部サービスの情報と照合する</t>
    </r>
  </si>
  <si>
    <t xml:space="preserve">カテゴリから妥当な店舗種別が選ばれ、実在店舗が提示される</t>
  </si>
  <si>
    <t xml:space="preserve">ST-142</t>
  </si>
  <si>
    <t xml:space="preserve">誤字・口語</t>
  </si>
  <si>
    <r>
      <rPr>
        <sz val="10"/>
        <color rgb="FF000000"/>
        <rFont val="Yu Gothic"/>
        <family val="0"/>
        <charset val="1"/>
      </rPr>
      <t xml:space="preserve">1. </t>
    </r>
    <r>
      <rPr>
        <sz val="10"/>
        <color rgb="FF000000"/>
        <rFont val="Noto Sans CJK SC"/>
        <family val="2"/>
      </rPr>
      <t xml:space="preserve">「とうきょう駅に</t>
    </r>
    <r>
      <rPr>
        <sz val="10"/>
        <color rgb="FF000000"/>
        <rFont val="Yu Gothic"/>
        <family val="0"/>
        <charset val="1"/>
      </rPr>
      <t xml:space="preserve">1</t>
    </r>
    <r>
      <rPr>
        <sz val="10"/>
        <color rgb="FF000000"/>
        <rFont val="Noto Sans CJK SC"/>
        <family val="2"/>
      </rPr>
      <t xml:space="preserve">じ、カレーのざいりょう」で計画を生成する
</t>
    </r>
    <r>
      <rPr>
        <sz val="10"/>
        <color rgb="FF000000"/>
        <rFont val="Yu Gothic"/>
        <family val="0"/>
        <charset val="1"/>
      </rPr>
      <t xml:space="preserve">2. </t>
    </r>
    <r>
      <rPr>
        <sz val="10"/>
        <color rgb="FF000000"/>
        <rFont val="Noto Sans CJK SC"/>
        <family val="2"/>
      </rPr>
      <t xml:space="preserve">結果を外部サービスの情報と照合する</t>
    </r>
  </si>
  <si>
    <t xml:space="preserve">誤字を補正して解釈し、必要なら確認質問を出す</t>
  </si>
  <si>
    <t xml:space="preserve">ST-143</t>
  </si>
  <si>
    <t xml:space="preserve">英字・記号混在</t>
  </si>
  <si>
    <r>
      <rPr>
        <sz val="10"/>
        <color rgb="FF000000"/>
        <rFont val="Yu Gothic"/>
        <family val="0"/>
        <charset val="1"/>
      </rPr>
      <t xml:space="preserve">1. </t>
    </r>
    <r>
      <rPr>
        <sz val="10"/>
        <color rgb="FF000000"/>
        <rFont val="Noto Sans CJK SC"/>
        <family val="2"/>
      </rPr>
      <t xml:space="preserve">「</t>
    </r>
    <r>
      <rPr>
        <sz val="10"/>
        <color rgb="FF000000"/>
        <rFont val="Yu Gothic"/>
        <family val="0"/>
        <charset val="1"/>
      </rPr>
      <t xml:space="preserve">JR</t>
    </r>
    <r>
      <rPr>
        <sz val="10"/>
        <color rgb="FF000000"/>
        <rFont val="Noto Sans CJK SC"/>
        <family val="2"/>
      </rPr>
      <t xml:space="preserve">品川駅 </t>
    </r>
    <r>
      <rPr>
        <sz val="10"/>
        <color rgb="FF000000"/>
        <rFont val="Yu Gothic"/>
        <family val="0"/>
        <charset val="1"/>
      </rPr>
      <t xml:space="preserve">13:00 meeting</t>
    </r>
    <r>
      <rPr>
        <sz val="10"/>
        <color rgb="FF000000"/>
        <rFont val="Noto Sans CJK SC"/>
        <family val="2"/>
      </rPr>
      <t xml:space="preserve">」で計画を生成する
</t>
    </r>
    <r>
      <rPr>
        <sz val="10"/>
        <color rgb="FF000000"/>
        <rFont val="Yu Gothic"/>
        <family val="0"/>
        <charset val="1"/>
      </rPr>
      <t xml:space="preserve">2. </t>
    </r>
    <r>
      <rPr>
        <sz val="10"/>
        <color rgb="FF000000"/>
        <rFont val="Noto Sans CJK SC"/>
        <family val="2"/>
      </rPr>
      <t xml:space="preserve">結果を外部サービスの情報と照合する</t>
    </r>
  </si>
  <si>
    <t xml:space="preserve">正しく解釈される</t>
  </si>
  <si>
    <t xml:space="preserve">ST-144</t>
  </si>
  <si>
    <t xml:space="preserve">スコープ外の要求</t>
  </si>
  <si>
    <r>
      <rPr>
        <sz val="10"/>
        <color rgb="FF000000"/>
        <rFont val="Yu Gothic"/>
        <family val="0"/>
        <charset val="1"/>
      </rPr>
      <t xml:space="preserve">1. </t>
    </r>
    <r>
      <rPr>
        <sz val="10"/>
        <color rgb="FF000000"/>
        <rFont val="Noto Sans CJK SC"/>
        <family val="2"/>
      </rPr>
      <t xml:space="preserve">「明後日の旅行プランを作って」で計画を生成する
</t>
    </r>
    <r>
      <rPr>
        <sz val="10"/>
        <color rgb="FF000000"/>
        <rFont val="Yu Gothic"/>
        <family val="0"/>
        <charset val="1"/>
      </rPr>
      <t xml:space="preserve">2. </t>
    </r>
    <r>
      <rPr>
        <sz val="10"/>
        <color rgb="FF000000"/>
        <rFont val="Noto Sans CJK SC"/>
        <family val="2"/>
      </rPr>
      <t xml:space="preserve">結果を外部サービスの情報と照合する</t>
    </r>
  </si>
  <si>
    <t xml:space="preserve">当日・1往復の範囲外である旨が示される</t>
  </si>
  <si>
    <t xml:space="preserve">ST-145</t>
  </si>
  <si>
    <t xml:space="preserve">取消の指示</t>
  </si>
  <si>
    <r>
      <rPr>
        <sz val="10"/>
        <color rgb="FF000000"/>
        <rFont val="Yu Gothic"/>
        <family val="0"/>
        <charset val="1"/>
      </rPr>
      <t xml:space="preserve">1. </t>
    </r>
    <r>
      <rPr>
        <sz val="10"/>
        <color rgb="FF000000"/>
        <rFont val="Noto Sans CJK SC"/>
        <family val="2"/>
      </rPr>
      <t xml:space="preserve">計画生成後に「今日の外出は中止」と修正指示を送る
</t>
    </r>
    <r>
      <rPr>
        <sz val="10"/>
        <color rgb="FF000000"/>
        <rFont val="Yu Gothic"/>
        <family val="0"/>
        <charset val="1"/>
      </rPr>
      <t xml:space="preserve">2. </t>
    </r>
    <r>
      <rPr>
        <sz val="10"/>
        <color rgb="FF000000"/>
        <rFont val="Noto Sans CJK SC"/>
        <family val="2"/>
      </rPr>
      <t xml:space="preserve">結果を外部サービスの情報と照合する</t>
    </r>
  </si>
  <si>
    <t xml:space="preserve">計画が取り消されるか、取消の確認が出る（扱いは詳細設計どおり）</t>
  </si>
  <si>
    <t xml:space="preserve">ST-146</t>
  </si>
  <si>
    <t xml:space="preserve">同一入力の再現性</t>
  </si>
  <si>
    <r>
      <rPr>
        <sz val="10"/>
        <color rgb="FF000000"/>
        <rFont val="Yu Gothic"/>
        <family val="0"/>
        <charset val="1"/>
      </rPr>
      <t xml:space="preserve">1. </t>
    </r>
    <r>
      <rPr>
        <sz val="10"/>
        <color rgb="FF000000"/>
        <rFont val="Noto Sans CJK SC"/>
        <family val="2"/>
      </rPr>
      <t xml:space="preserve">同じ入力で計画を</t>
    </r>
    <r>
      <rPr>
        <sz val="10"/>
        <color rgb="FF000000"/>
        <rFont val="Yu Gothic"/>
        <family val="0"/>
        <charset val="1"/>
      </rPr>
      <t xml:space="preserve">3</t>
    </r>
    <r>
      <rPr>
        <sz val="10"/>
        <color rgb="FF000000"/>
        <rFont val="Noto Sans CJK SC"/>
        <family val="2"/>
      </rPr>
      <t xml:space="preserve">回生成する
</t>
    </r>
    <r>
      <rPr>
        <sz val="10"/>
        <color rgb="FF000000"/>
        <rFont val="Yu Gothic"/>
        <family val="0"/>
        <charset val="1"/>
      </rPr>
      <t xml:space="preserve">2. </t>
    </r>
    <r>
      <rPr>
        <sz val="10"/>
        <color rgb="FF000000"/>
        <rFont val="Noto Sans CJK SC"/>
        <family val="2"/>
      </rPr>
      <t xml:space="preserve">結果を外部サービスの情報と照合する</t>
    </r>
  </si>
  <si>
    <t xml:space="preserve">出発時刻・経路が大きくぶれない</t>
  </si>
  <si>
    <t xml:space="preserve">ST-147</t>
  </si>
  <si>
    <t xml:space="preserve">パスワードリセット・退会</t>
  </si>
  <si>
    <r>
      <rPr>
        <sz val="10"/>
        <color rgb="FF000000"/>
        <rFont val="Yu Gothic"/>
        <family val="0"/>
        <charset val="1"/>
      </rPr>
      <t xml:space="preserve">1. </t>
    </r>
    <r>
      <rPr>
        <sz val="10"/>
        <color rgb="FF000000"/>
        <rFont val="Noto Sans CJK SC"/>
        <family val="2"/>
      </rPr>
      <t xml:space="preserve">パスワードリセットと退会を実施する</t>
    </r>
  </si>
  <si>
    <t xml:space="preserve">モーダル・ダイアログが正しく表示され、処理が完了する</t>
  </si>
  <si>
    <t xml:space="preserve">ST-148</t>
  </si>
  <si>
    <t xml:space="preserve">ST-149</t>
  </si>
  <si>
    <t xml:space="preserve">表示設定</t>
  </si>
  <si>
    <t xml:space="preserve">ダークモード</t>
  </si>
  <si>
    <r>
      <rPr>
        <sz val="10"/>
        <color rgb="FF000000"/>
        <rFont val="Yu Gothic"/>
        <family val="0"/>
        <charset val="1"/>
      </rPr>
      <t xml:space="preserve">OS</t>
    </r>
    <r>
      <rPr>
        <sz val="10"/>
        <color rgb="FF000000"/>
        <rFont val="Noto Sans CJK SC"/>
        <family val="2"/>
      </rPr>
      <t xml:space="preserve">をダークモードに設定</t>
    </r>
  </si>
  <si>
    <r>
      <rPr>
        <sz val="10"/>
        <color rgb="FF000000"/>
        <rFont val="Yu Gothic"/>
        <family val="0"/>
        <charset val="1"/>
      </rPr>
      <t xml:space="preserve">1. </t>
    </r>
    <r>
      <rPr>
        <sz val="10"/>
        <color rgb="FF000000"/>
        <rFont val="Noto Sans CJK SC"/>
        <family val="2"/>
      </rPr>
      <t xml:space="preserve">主要画面を表示する</t>
    </r>
  </si>
  <si>
    <t xml:space="preserve">文字と背景のコントラストが保たれ、地図も判読できる</t>
  </si>
  <si>
    <t xml:space="preserve">ST-150</t>
  </si>
  <si>
    <t xml:space="preserve">低速回線</t>
  </si>
  <si>
    <t xml:space="preserve">回線速度を3G相当に制限</t>
  </si>
  <si>
    <r>
      <rPr>
        <sz val="10"/>
        <color rgb="FF000000"/>
        <rFont val="Yu Gothic"/>
        <family val="0"/>
        <charset val="1"/>
      </rPr>
      <t xml:space="preserve">1. </t>
    </r>
    <r>
      <rPr>
        <sz val="10"/>
        <color rgb="FF000000"/>
        <rFont val="Noto Sans CJK SC"/>
        <family val="2"/>
      </rPr>
      <t xml:space="preserve">計画生成と地図表示を行う</t>
    </r>
  </si>
  <si>
    <t xml:space="preserve">タイムアウトせずに表示されるか、分かりやすいエラーとなる</t>
  </si>
  <si>
    <t xml:space="preserve">ST-151</t>
  </si>
  <si>
    <t xml:space="preserve">セキュリティヘッダー</t>
  </si>
  <si>
    <r>
      <rPr>
        <sz val="10"/>
        <color rgb="FF000000"/>
        <rFont val="Yu Gothic"/>
        <family val="0"/>
        <charset val="1"/>
      </rPr>
      <t xml:space="preserve">1. </t>
    </r>
    <r>
      <rPr>
        <sz val="10"/>
        <color rgb="FF000000"/>
        <rFont val="Noto Sans CJK SC"/>
        <family val="2"/>
      </rPr>
      <t xml:space="preserve">レスポンスヘッダーを確認する</t>
    </r>
  </si>
  <si>
    <r>
      <rPr>
        <sz val="10"/>
        <color rgb="FF000000"/>
        <rFont val="Yu Gothic"/>
        <family val="0"/>
        <charset val="1"/>
      </rPr>
      <t xml:space="preserve">HSTS</t>
    </r>
    <r>
      <rPr>
        <sz val="10"/>
        <color rgb="FF000000"/>
        <rFont val="Noto Sans CJK SC"/>
        <family val="2"/>
      </rPr>
      <t xml:space="preserve">・</t>
    </r>
    <r>
      <rPr>
        <sz val="10"/>
        <color rgb="FF000000"/>
        <rFont val="Yu Gothic"/>
        <family val="0"/>
        <charset val="1"/>
      </rPr>
      <t xml:space="preserve">X-Content-Type-Options</t>
    </r>
    <r>
      <rPr>
        <sz val="10"/>
        <color rgb="FF000000"/>
        <rFont val="Noto Sans CJK SC"/>
        <family val="2"/>
      </rPr>
      <t xml:space="preserve">・クリックジャッキング対策（</t>
    </r>
    <r>
      <rPr>
        <sz val="10"/>
        <color rgb="FF000000"/>
        <rFont val="Yu Gothic"/>
        <family val="0"/>
        <charset val="1"/>
      </rPr>
      <t xml:space="preserve">frame-ancestors</t>
    </r>
    <r>
      <rPr>
        <sz val="10"/>
        <color rgb="FF000000"/>
        <rFont val="Noto Sans CJK SC"/>
        <family val="2"/>
      </rPr>
      <t xml:space="preserve">等）が設定されている</t>
    </r>
  </si>
  <si>
    <t xml:space="preserve">要件3.3.1</t>
  </si>
  <si>
    <t xml:space="preserve">ST-152</t>
  </si>
  <si>
    <t xml:space="preserve">OAuth</t>
  </si>
  <si>
    <t xml:space="preserve">リダイレクトURIとstate検証</t>
  </si>
  <si>
    <t xml:space="preserve">カレンダー連携</t>
  </si>
  <si>
    <r>
      <rPr>
        <sz val="10"/>
        <color rgb="FF000000"/>
        <rFont val="Yu Gothic"/>
        <family val="0"/>
        <charset val="1"/>
      </rPr>
      <t xml:space="preserve">1. state</t>
    </r>
    <r>
      <rPr>
        <sz val="10"/>
        <color rgb="FF000000"/>
        <rFont val="Noto Sans CJK SC"/>
        <family val="2"/>
      </rPr>
      <t xml:space="preserve">を改ざんしたコールバック、未登録のリダイレクト</t>
    </r>
    <r>
      <rPr>
        <sz val="10"/>
        <color rgb="FF000000"/>
        <rFont val="Yu Gothic"/>
        <family val="0"/>
        <charset val="1"/>
      </rPr>
      <t xml:space="preserve">URI</t>
    </r>
    <r>
      <rPr>
        <sz val="10"/>
        <color rgb="FF000000"/>
        <rFont val="Noto Sans CJK SC"/>
        <family val="2"/>
      </rPr>
      <t xml:space="preserve">を試す</t>
    </r>
  </si>
  <si>
    <t xml:space="preserve">連携が拒否される</t>
  </si>
  <si>
    <t xml:space="preserve">ST-153</t>
  </si>
  <si>
    <t xml:space="preserve">スコープの最小化</t>
  </si>
  <si>
    <r>
      <rPr>
        <sz val="10"/>
        <color rgb="FF000000"/>
        <rFont val="Yu Gothic"/>
        <family val="0"/>
        <charset val="1"/>
      </rPr>
      <t xml:space="preserve">Google</t>
    </r>
    <r>
      <rPr>
        <sz val="10"/>
        <color rgb="FF000000"/>
        <rFont val="Noto Sans CJK SC"/>
        <family val="2"/>
      </rPr>
      <t xml:space="preserve">・</t>
    </r>
    <r>
      <rPr>
        <sz val="10"/>
        <color rgb="FF000000"/>
        <rFont val="Yu Gothic"/>
        <family val="0"/>
        <charset val="1"/>
      </rPr>
      <t xml:space="preserve">Microsoft</t>
    </r>
    <r>
      <rPr>
        <sz val="10"/>
        <color rgb="FF000000"/>
        <rFont val="Noto Sans CJK SC"/>
        <family val="2"/>
      </rPr>
      <t xml:space="preserve">の同意画面</t>
    </r>
  </si>
  <si>
    <r>
      <rPr>
        <sz val="10"/>
        <color rgb="FF000000"/>
        <rFont val="Yu Gothic"/>
        <family val="0"/>
        <charset val="1"/>
      </rPr>
      <t xml:space="preserve">1. </t>
    </r>
    <r>
      <rPr>
        <sz val="10"/>
        <color rgb="FF000000"/>
        <rFont val="Noto Sans CJK SC"/>
        <family val="2"/>
      </rPr>
      <t xml:space="preserve">要求スコープを確認する</t>
    </r>
  </si>
  <si>
    <t xml:space="preserve">当日予定の読み取りに必要な読み取り専用スコープのみ</t>
  </si>
  <si>
    <t xml:space="preserve">ST-154</t>
  </si>
  <si>
    <t xml:space="preserve">ログアウト時のトークン失効</t>
  </si>
  <si>
    <t xml:space="preserve">ログイン中</t>
  </si>
  <si>
    <r>
      <rPr>
        <sz val="10"/>
        <color rgb="FF000000"/>
        <rFont val="Yu Gothic"/>
        <family val="0"/>
        <charset val="1"/>
      </rPr>
      <t xml:space="preserve">1. </t>
    </r>
    <r>
      <rPr>
        <sz val="10"/>
        <color rgb="FF000000"/>
        <rFont val="Noto Sans CJK SC"/>
        <family val="2"/>
      </rPr>
      <t xml:space="preserve">ログアウト後、保存しておいたトークンで</t>
    </r>
    <r>
      <rPr>
        <sz val="10"/>
        <color rgb="FF000000"/>
        <rFont val="Yu Gothic"/>
        <family val="0"/>
        <charset val="1"/>
      </rPr>
      <t xml:space="preserve">API</t>
    </r>
    <r>
      <rPr>
        <sz val="10"/>
        <color rgb="FF000000"/>
        <rFont val="Noto Sans CJK SC"/>
        <family val="2"/>
      </rPr>
      <t xml:space="preserve">を呼ぶ</t>
    </r>
  </si>
  <si>
    <t xml:space="preserve">リフレッシュトークンが無効になり、新しいアクセストークンを取得できない</t>
  </si>
  <si>
    <t xml:space="preserve">ST-155</t>
  </si>
  <si>
    <t xml:space="preserve">API</t>
  </si>
  <si>
    <t xml:space="preserve">大量リクエスト</t>
  </si>
  <si>
    <r>
      <rPr>
        <sz val="10"/>
        <color rgb="FF000000"/>
        <rFont val="Yu Gothic"/>
        <family val="0"/>
        <charset val="1"/>
      </rPr>
      <t xml:space="preserve">1. 1</t>
    </r>
    <r>
      <rPr>
        <sz val="10"/>
        <color rgb="FF000000"/>
        <rFont val="Noto Sans CJK SC"/>
        <family val="2"/>
      </rPr>
      <t xml:space="preserve">ユーザーで短時間に大量の通常</t>
    </r>
    <r>
      <rPr>
        <sz val="10"/>
        <color rgb="FF000000"/>
        <rFont val="Yu Gothic"/>
        <family val="0"/>
        <charset val="1"/>
      </rPr>
      <t xml:space="preserve">API</t>
    </r>
    <r>
      <rPr>
        <sz val="10"/>
        <color rgb="FF000000"/>
        <rFont val="Noto Sans CJK SC"/>
        <family val="2"/>
      </rPr>
      <t xml:space="preserve">を呼ぶ</t>
    </r>
  </si>
  <si>
    <r>
      <rPr>
        <sz val="10"/>
        <color rgb="FF000000"/>
        <rFont val="Yu Gothic"/>
        <family val="0"/>
        <charset val="1"/>
      </rPr>
      <t xml:space="preserve">WAF</t>
    </r>
    <r>
      <rPr>
        <sz val="10"/>
        <color rgb="FF000000"/>
        <rFont val="Noto Sans CJK SC"/>
        <family val="2"/>
      </rPr>
      <t xml:space="preserve">のレート制限等で抑止され、他ユーザーに影響しない</t>
    </r>
  </si>
  <si>
    <t xml:space="preserve">ST-156</t>
  </si>
  <si>
    <t xml:space="preserve">問い合わせ対応</t>
  </si>
  <si>
    <t xml:space="preserve">ユーザー単位の調査</t>
  </si>
  <si>
    <r>
      <rPr>
        <sz val="10"/>
        <color rgb="FF000000"/>
        <rFont val="Yu Gothic"/>
        <family val="0"/>
        <charset val="1"/>
      </rPr>
      <t xml:space="preserve">1. </t>
    </r>
    <r>
      <rPr>
        <sz val="10"/>
        <color rgb="FF000000"/>
        <rFont val="Noto Sans CJK SC"/>
        <family val="2"/>
      </rPr>
      <t xml:space="preserve">問い合わせを想定し、ユーザー</t>
    </r>
    <r>
      <rPr>
        <sz val="10"/>
        <color rgb="FF000000"/>
        <rFont val="Yu Gothic"/>
        <family val="0"/>
        <charset val="1"/>
      </rPr>
      <t xml:space="preserve">ID</t>
    </r>
    <r>
      <rPr>
        <sz val="10"/>
        <color rgb="FF000000"/>
        <rFont val="Noto Sans CJK SC"/>
        <family val="2"/>
      </rPr>
      <t xml:space="preserve">からログと計画を検索する</t>
    </r>
  </si>
  <si>
    <t xml:space="preserve">個人情報を必要以上に見ずに状況を特定できる</t>
  </si>
  <si>
    <t xml:space="preserve">ST-157</t>
  </si>
  <si>
    <r>
      <rPr>
        <sz val="10"/>
        <color rgb="FF000000"/>
        <rFont val="Yu Gothic"/>
        <family val="0"/>
        <charset val="1"/>
      </rPr>
      <t xml:space="preserve">API</t>
    </r>
    <r>
      <rPr>
        <sz val="10"/>
        <color rgb="FF000000"/>
        <rFont val="Noto Sans CJK SC"/>
        <family val="2"/>
      </rPr>
      <t xml:space="preserve">キーの差し替え</t>
    </r>
  </si>
  <si>
    <r>
      <rPr>
        <sz val="10"/>
        <color rgb="FF000000"/>
        <rFont val="Yu Gothic"/>
        <family val="0"/>
        <charset val="1"/>
      </rPr>
      <t xml:space="preserve">1. Secrets Manager</t>
    </r>
    <r>
      <rPr>
        <sz val="10"/>
        <color rgb="FF000000"/>
        <rFont val="Noto Sans CJK SC"/>
        <family val="2"/>
      </rPr>
      <t xml:space="preserve">の</t>
    </r>
    <r>
      <rPr>
        <sz val="10"/>
        <color rgb="FF000000"/>
        <rFont val="Yu Gothic"/>
        <family val="0"/>
        <charset val="1"/>
      </rPr>
      <t xml:space="preserve">Maps</t>
    </r>
    <r>
      <rPr>
        <sz val="10"/>
        <color rgb="FF000000"/>
        <rFont val="Noto Sans CJK SC"/>
        <family val="2"/>
      </rPr>
      <t xml:space="preserve">キーを新しいキーに更新する</t>
    </r>
  </si>
  <si>
    <t xml:space="preserve">アプリの再デプロイなし（またはタスク再起動のみ）で新キーが使われる</t>
  </si>
  <si>
    <t xml:space="preserve">ST-158</t>
  </si>
  <si>
    <t xml:space="preserve">証明書</t>
  </si>
  <si>
    <r>
      <rPr>
        <sz val="10"/>
        <color rgb="FF000000"/>
        <rFont val="Yu Gothic"/>
        <family val="0"/>
        <charset val="1"/>
      </rPr>
      <t xml:space="preserve">ACM</t>
    </r>
    <r>
      <rPr>
        <sz val="10"/>
        <color rgb="FF000000"/>
        <rFont val="Noto Sans CJK SC"/>
        <family val="2"/>
      </rPr>
      <t xml:space="preserve">証明書の自動更新</t>
    </r>
  </si>
  <si>
    <r>
      <rPr>
        <sz val="10"/>
        <color rgb="FF000000"/>
        <rFont val="Yu Gothic"/>
        <family val="0"/>
        <charset val="1"/>
      </rPr>
      <t xml:space="preserve">1. </t>
    </r>
    <r>
      <rPr>
        <sz val="10"/>
        <color rgb="FF000000"/>
        <rFont val="Noto Sans CJK SC"/>
        <family val="2"/>
      </rPr>
      <t xml:space="preserve">証明書の更新設定を確認する</t>
    </r>
  </si>
  <si>
    <r>
      <rPr>
        <sz val="10"/>
        <color rgb="FF000000"/>
        <rFont val="Yu Gothic"/>
        <family val="0"/>
        <charset val="1"/>
      </rPr>
      <t xml:space="preserve">DNS</t>
    </r>
    <r>
      <rPr>
        <sz val="10"/>
        <color rgb="FF000000"/>
        <rFont val="Noto Sans CJK SC"/>
        <family val="2"/>
      </rPr>
      <t xml:space="preserve">検証で自動更新される設定になっている</t>
    </r>
  </si>
  <si>
    <t xml:space="preserve">ST-159</t>
  </si>
  <si>
    <r>
      <rPr>
        <sz val="10"/>
        <color rgb="FF000000"/>
        <rFont val="Yu Gothic"/>
        <family val="0"/>
        <charset val="1"/>
      </rPr>
      <t xml:space="preserve">API</t>
    </r>
    <r>
      <rPr>
        <sz val="10"/>
        <color rgb="FF000000"/>
        <rFont val="Noto Sans CJK SC"/>
        <family val="2"/>
      </rPr>
      <t xml:space="preserve">別応答</t>
    </r>
  </si>
  <si>
    <t xml:space="preserve">プロファイル取得・更新</t>
  </si>
  <si>
    <r>
      <rPr>
        <sz val="10"/>
        <color rgb="FF000000"/>
        <rFont val="Yu Gothic"/>
        <family val="0"/>
        <charset val="1"/>
      </rPr>
      <t xml:space="preserve">1. </t>
    </r>
    <r>
      <rPr>
        <sz val="10"/>
        <color rgb="FF000000"/>
        <rFont val="Noto Sans CJK SC"/>
        <family val="2"/>
      </rPr>
      <t xml:space="preserve">プロファイル取得・更新を</t>
    </r>
    <r>
      <rPr>
        <sz val="10"/>
        <color rgb="FF000000"/>
        <rFont val="Yu Gothic"/>
        <family val="0"/>
        <charset val="1"/>
      </rPr>
      <t xml:space="preserve">50</t>
    </r>
    <r>
      <rPr>
        <sz val="10"/>
        <color rgb="FF000000"/>
        <rFont val="Noto Sans CJK SC"/>
        <family val="2"/>
      </rPr>
      <t xml:space="preserve">回呼び</t>
    </r>
    <r>
      <rPr>
        <sz val="10"/>
        <color rgb="FF000000"/>
        <rFont val="Yu Gothic"/>
        <family val="0"/>
        <charset val="1"/>
      </rPr>
      <t xml:space="preserve">p95</t>
    </r>
    <r>
      <rPr>
        <sz val="10"/>
        <color rgb="FF000000"/>
        <rFont val="Noto Sans CJK SC"/>
        <family val="2"/>
      </rPr>
      <t xml:space="preserve">を計測する</t>
    </r>
  </si>
  <si>
    <t xml:space="preserve">ST-160</t>
  </si>
  <si>
    <t xml:space="preserve">住所・駅名サジェスト</t>
  </si>
  <si>
    <r>
      <rPr>
        <sz val="10"/>
        <color rgb="FF000000"/>
        <rFont val="Yu Gothic"/>
        <family val="0"/>
        <charset val="1"/>
      </rPr>
      <t xml:space="preserve">1. </t>
    </r>
    <r>
      <rPr>
        <sz val="10"/>
        <color rgb="FF000000"/>
        <rFont val="Noto Sans CJK SC"/>
        <family val="2"/>
      </rPr>
      <t xml:space="preserve">住所・駅名サジェストを</t>
    </r>
    <r>
      <rPr>
        <sz val="10"/>
        <color rgb="FF000000"/>
        <rFont val="Yu Gothic"/>
        <family val="0"/>
        <charset val="1"/>
      </rPr>
      <t xml:space="preserve">50</t>
    </r>
    <r>
      <rPr>
        <sz val="10"/>
        <color rgb="FF000000"/>
        <rFont val="Noto Sans CJK SC"/>
        <family val="2"/>
      </rPr>
      <t xml:space="preserve">回呼び</t>
    </r>
    <r>
      <rPr>
        <sz val="10"/>
        <color rgb="FF000000"/>
        <rFont val="Yu Gothic"/>
        <family val="0"/>
        <charset val="1"/>
      </rPr>
      <t xml:space="preserve">p95</t>
    </r>
    <r>
      <rPr>
        <sz val="10"/>
        <color rgb="FF000000"/>
        <rFont val="Noto Sans CJK SC"/>
        <family val="2"/>
      </rPr>
      <t xml:space="preserve">を計測する</t>
    </r>
  </si>
  <si>
    <t xml:space="preserve">ST-161</t>
  </si>
  <si>
    <t xml:space="preserve">メモCRUD</t>
  </si>
  <si>
    <r>
      <rPr>
        <sz val="10"/>
        <color rgb="FF000000"/>
        <rFont val="Yu Gothic"/>
        <family val="0"/>
        <charset val="1"/>
      </rPr>
      <t xml:space="preserve">1. </t>
    </r>
    <r>
      <rPr>
        <sz val="10"/>
        <color rgb="FF000000"/>
        <rFont val="Noto Sans CJK SC"/>
        <family val="2"/>
      </rPr>
      <t xml:space="preserve">メモ</t>
    </r>
    <r>
      <rPr>
        <sz val="10"/>
        <color rgb="FF000000"/>
        <rFont val="Yu Gothic"/>
        <family val="0"/>
        <charset val="1"/>
      </rPr>
      <t xml:space="preserve">CRUD</t>
    </r>
    <r>
      <rPr>
        <sz val="10"/>
        <color rgb="FF000000"/>
        <rFont val="Noto Sans CJK SC"/>
        <family val="2"/>
      </rPr>
      <t xml:space="preserve">を</t>
    </r>
    <r>
      <rPr>
        <sz val="10"/>
        <color rgb="FF000000"/>
        <rFont val="Yu Gothic"/>
        <family val="0"/>
        <charset val="1"/>
      </rPr>
      <t xml:space="preserve">50</t>
    </r>
    <r>
      <rPr>
        <sz val="10"/>
        <color rgb="FF000000"/>
        <rFont val="Noto Sans CJK SC"/>
        <family val="2"/>
      </rPr>
      <t xml:space="preserve">回呼び</t>
    </r>
    <r>
      <rPr>
        <sz val="10"/>
        <color rgb="FF000000"/>
        <rFont val="Yu Gothic"/>
        <family val="0"/>
        <charset val="1"/>
      </rPr>
      <t xml:space="preserve">p95</t>
    </r>
    <r>
      <rPr>
        <sz val="10"/>
        <color rgb="FF000000"/>
        <rFont val="Noto Sans CJK SC"/>
        <family val="2"/>
      </rPr>
      <t xml:space="preserve">を計測する</t>
    </r>
  </si>
  <si>
    <t xml:space="preserve">ST-162</t>
  </si>
  <si>
    <t xml:space="preserve">ルーティンCRUD</t>
  </si>
  <si>
    <r>
      <rPr>
        <sz val="10"/>
        <color rgb="FF000000"/>
        <rFont val="Yu Gothic"/>
        <family val="0"/>
        <charset val="1"/>
      </rPr>
      <t xml:space="preserve">1. </t>
    </r>
    <r>
      <rPr>
        <sz val="10"/>
        <color rgb="FF000000"/>
        <rFont val="Noto Sans CJK SC"/>
        <family val="2"/>
      </rPr>
      <t xml:space="preserve">ルーティン</t>
    </r>
    <r>
      <rPr>
        <sz val="10"/>
        <color rgb="FF000000"/>
        <rFont val="Yu Gothic"/>
        <family val="0"/>
        <charset val="1"/>
      </rPr>
      <t xml:space="preserve">CRUD</t>
    </r>
    <r>
      <rPr>
        <sz val="10"/>
        <color rgb="FF000000"/>
        <rFont val="Noto Sans CJK SC"/>
        <family val="2"/>
      </rPr>
      <t xml:space="preserve">を</t>
    </r>
    <r>
      <rPr>
        <sz val="10"/>
        <color rgb="FF000000"/>
        <rFont val="Yu Gothic"/>
        <family val="0"/>
        <charset val="1"/>
      </rPr>
      <t xml:space="preserve">50</t>
    </r>
    <r>
      <rPr>
        <sz val="10"/>
        <color rgb="FF000000"/>
        <rFont val="Noto Sans CJK SC"/>
        <family val="2"/>
      </rPr>
      <t xml:space="preserve">回呼び</t>
    </r>
    <r>
      <rPr>
        <sz val="10"/>
        <color rgb="FF000000"/>
        <rFont val="Yu Gothic"/>
        <family val="0"/>
        <charset val="1"/>
      </rPr>
      <t xml:space="preserve">p95</t>
    </r>
    <r>
      <rPr>
        <sz val="10"/>
        <color rgb="FF000000"/>
        <rFont val="Noto Sans CJK SC"/>
        <family val="2"/>
      </rPr>
      <t xml:space="preserve">を計測する</t>
    </r>
  </si>
  <si>
    <t xml:space="preserve">ST-163</t>
  </si>
  <si>
    <t xml:space="preserve">カレンダー予定取得</t>
  </si>
  <si>
    <r>
      <rPr>
        <sz val="10"/>
        <color rgb="FF000000"/>
        <rFont val="Yu Gothic"/>
        <family val="0"/>
        <charset val="1"/>
      </rPr>
      <t xml:space="preserve">1. </t>
    </r>
    <r>
      <rPr>
        <sz val="10"/>
        <color rgb="FF000000"/>
        <rFont val="Noto Sans CJK SC"/>
        <family val="2"/>
      </rPr>
      <t xml:space="preserve">カレンダー予定取得を</t>
    </r>
    <r>
      <rPr>
        <sz val="10"/>
        <color rgb="FF000000"/>
        <rFont val="Yu Gothic"/>
        <family val="0"/>
        <charset val="1"/>
      </rPr>
      <t xml:space="preserve">50</t>
    </r>
    <r>
      <rPr>
        <sz val="10"/>
        <color rgb="FF000000"/>
        <rFont val="Noto Sans CJK SC"/>
        <family val="2"/>
      </rPr>
      <t xml:space="preserve">回呼び</t>
    </r>
    <r>
      <rPr>
        <sz val="10"/>
        <color rgb="FF000000"/>
        <rFont val="Yu Gothic"/>
        <family val="0"/>
        <charset val="1"/>
      </rPr>
      <t xml:space="preserve">p95</t>
    </r>
    <r>
      <rPr>
        <sz val="10"/>
        <color rgb="FF000000"/>
        <rFont val="Noto Sans CJK SC"/>
        <family val="2"/>
      </rPr>
      <t xml:space="preserve">を計測する</t>
    </r>
  </si>
  <si>
    <t xml:space="preserve">ST-164</t>
  </si>
  <si>
    <t xml:space="preserve">計画取得（GET /agent/plans/{planId}）</t>
  </si>
  <si>
    <r>
      <rPr>
        <sz val="10"/>
        <color rgb="FF000000"/>
        <rFont val="Yu Gothic"/>
        <family val="0"/>
        <charset val="1"/>
      </rPr>
      <t xml:space="preserve">1. </t>
    </r>
    <r>
      <rPr>
        <sz val="10"/>
        <color rgb="FF000000"/>
        <rFont val="Noto Sans CJK SC"/>
        <family val="2"/>
      </rPr>
      <t xml:space="preserve">計画取得（</t>
    </r>
    <r>
      <rPr>
        <sz val="10"/>
        <color rgb="FF000000"/>
        <rFont val="Yu Gothic"/>
        <family val="0"/>
        <charset val="1"/>
      </rPr>
      <t xml:space="preserve">GET /agent/plans/{planId}</t>
    </r>
    <r>
      <rPr>
        <sz val="10"/>
        <color rgb="FF000000"/>
        <rFont val="Noto Sans CJK SC"/>
        <family val="2"/>
      </rPr>
      <t xml:space="preserve">）を</t>
    </r>
    <r>
      <rPr>
        <sz val="10"/>
        <color rgb="FF000000"/>
        <rFont val="Yu Gothic"/>
        <family val="0"/>
        <charset val="1"/>
      </rPr>
      <t xml:space="preserve">50</t>
    </r>
    <r>
      <rPr>
        <sz val="10"/>
        <color rgb="FF000000"/>
        <rFont val="Noto Sans CJK SC"/>
        <family val="2"/>
      </rPr>
      <t xml:space="preserve">回呼び</t>
    </r>
    <r>
      <rPr>
        <sz val="10"/>
        <color rgb="FF000000"/>
        <rFont val="Yu Gothic"/>
        <family val="0"/>
        <charset val="1"/>
      </rPr>
      <t xml:space="preserve">p95</t>
    </r>
    <r>
      <rPr>
        <sz val="10"/>
        <color rgb="FF000000"/>
        <rFont val="Noto Sans CJK SC"/>
        <family val="2"/>
      </rPr>
      <t xml:space="preserve">を計測する</t>
    </r>
  </si>
  <si>
    <t xml:space="preserve">日付</t>
  </si>
  <si>
    <t xml:space="preserve">変更内容</t>
  </si>
  <si>
    <t xml:space="preserve">変更者</t>
  </si>
  <si>
    <t xml:space="preserve">1.0</t>
  </si>
  <si>
    <t xml:space="preserve">2026/10/15</t>
  </si>
  <si>
    <t xml:space="preserve">初版作成（要件定義書・見積書・DB定義書に基づく）</t>
  </si>
  <si>
    <t xml:space="preserve">1.1</t>
  </si>
  <si>
    <t xml:space="preserve">2026/10/16</t>
  </si>
  <si>
    <t xml:space="preserve">レビュー指摘による手順の誤記修正（ST-168・173・174）</t>
  </si>
  <si>
    <t xml:space="preserve">前田（レビュー：Claude）</t>
  </si>
  <si>
    <t xml:space="preserve">Web版スコープに合わせて範囲外の36項目を削除しIDを振り直し。Web前提に書き換え（ST-016・ST-083・ST-096・ST-144・ST-145は旧ID）。表紙・集計を更新</t>
  </si>
  <si>
    <t xml:space="preserve">前田（作業：Claude）</t>
  </si>
</sst>
</file>

<file path=xl/styles.xml><?xml version="1.0" encoding="utf-8"?>
<styleSheet xmlns="http://schemas.openxmlformats.org/spreadsheetml/2006/main">
  <numFmts count="3">
    <numFmt numFmtId="164" formatCode="General"/>
    <numFmt numFmtId="165" formatCode="0.0%"/>
    <numFmt numFmtId="166" formatCode="yyyy/mm/dd"/>
  </numFmts>
  <fonts count="17">
    <font>
      <sz val="11"/>
      <color theme="1"/>
      <name val="Calibri"/>
      <family val="2"/>
      <charset val="1"/>
    </font>
    <font>
      <sz val="10"/>
      <name val="Arial"/>
      <family val="0"/>
    </font>
    <font>
      <sz val="10"/>
      <name val="Arial"/>
      <family val="0"/>
    </font>
    <font>
      <sz val="10"/>
      <name val="Arial"/>
      <family val="0"/>
    </font>
    <font>
      <b val="true"/>
      <sz val="16"/>
      <color rgb="FF1F3864"/>
      <name val="Yu Gothic"/>
      <family val="0"/>
      <charset val="1"/>
    </font>
    <font>
      <b val="true"/>
      <sz val="16"/>
      <color rgb="FF1F3864"/>
      <name val="Noto Sans CJK SC"/>
      <family val="2"/>
    </font>
    <font>
      <b val="true"/>
      <sz val="10"/>
      <color rgb="FF000000"/>
      <name val="Noto Sans CJK SC"/>
      <family val="2"/>
      <charset val="1"/>
    </font>
    <font>
      <sz val="10"/>
      <color rgb="FF000000"/>
      <name val="Yu Gothic"/>
      <family val="0"/>
      <charset val="1"/>
    </font>
    <font>
      <sz val="10"/>
      <color rgb="FF000000"/>
      <name val="Noto Sans CJK SC"/>
      <family val="2"/>
    </font>
    <font>
      <sz val="10"/>
      <color rgb="FF000000"/>
      <name val="Noto Sans CJK SC"/>
      <family val="2"/>
      <charset val="1"/>
    </font>
    <font>
      <b val="true"/>
      <sz val="11"/>
      <color rgb="FF1F3864"/>
      <name val="Noto Sans CJK SC"/>
      <family val="2"/>
      <charset val="1"/>
    </font>
    <font>
      <b val="true"/>
      <sz val="10"/>
      <color rgb="FF000000"/>
      <name val="Yu Gothic"/>
      <family val="0"/>
      <charset val="1"/>
    </font>
    <font>
      <b val="true"/>
      <sz val="10"/>
      <color rgb="FF000000"/>
      <name val="Noto Sans CJK SC"/>
      <family val="2"/>
    </font>
    <font>
      <b val="true"/>
      <sz val="13"/>
      <color rgb="FF1F3864"/>
      <name val="Noto Sans CJK SC"/>
      <family val="2"/>
      <charset val="1"/>
    </font>
    <font>
      <b val="true"/>
      <sz val="10"/>
      <color rgb="FFFFFFFF"/>
      <name val="Noto Sans CJK SC"/>
      <family val="2"/>
      <charset val="1"/>
    </font>
    <font>
      <b val="true"/>
      <sz val="10"/>
      <color rgb="FFFFFFFF"/>
      <name val="Yu Gothic"/>
      <family val="0"/>
      <charset val="1"/>
    </font>
    <font>
      <sz val="9"/>
      <color rgb="FF595959"/>
      <name val="Noto Sans CJK SC"/>
      <family val="2"/>
      <charset val="1"/>
    </font>
  </fonts>
  <fills count="5">
    <fill>
      <patternFill patternType="none"/>
    </fill>
    <fill>
      <patternFill patternType="gray125"/>
    </fill>
    <fill>
      <patternFill patternType="solid">
        <fgColor rgb="FFD9E1F2"/>
        <bgColor rgb="FFCCFFFF"/>
      </patternFill>
    </fill>
    <fill>
      <patternFill patternType="solid">
        <fgColor rgb="FFFFF2CC"/>
        <bgColor rgb="FFFFFFFF"/>
      </patternFill>
    </fill>
    <fill>
      <patternFill patternType="solid">
        <fgColor rgb="FF1F3864"/>
        <bgColor rgb="FF333333"/>
      </patternFill>
    </fill>
  </fills>
  <borders count="2">
    <border diagonalUp="false" diagonalDown="false">
      <left/>
      <right/>
      <top/>
      <bottom/>
      <diagonal/>
    </border>
    <border diagonalUp="false" diagonalDown="false">
      <left style="thin">
        <color rgb="FFA6A6A6"/>
      </left>
      <right style="thin">
        <color rgb="FFA6A6A6"/>
      </right>
      <top style="thin">
        <color rgb="FFA6A6A6"/>
      </top>
      <bottom style="thin">
        <color rgb="FFA6A6A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11" fillId="2" borderId="1"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4" borderId="1" xfId="0" applyFont="true" applyBorder="true" applyAlignment="true" applyProtection="false">
      <alignment horizontal="center" vertical="top" textRotation="0" wrapText="true" indent="0" shrinkToFit="false"/>
      <protection locked="true" hidden="false"/>
    </xf>
    <xf numFmtId="164" fontId="15" fillId="4"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bottom" textRotation="0" wrapText="false" indent="0" shrinkToFit="false"/>
      <protection locked="true" hidden="false"/>
    </xf>
    <xf numFmtId="165" fontId="11" fillId="2" borderId="1" xfId="0" applyFont="true" applyBorder="tru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6" fontId="7" fillId="3" borderId="1" xfId="0" applyFont="true" applyBorder="true" applyAlignment="true" applyProtection="false">
      <alignment horizontal="center" vertical="top" textRotation="0" wrapText="true" indent="0" shrinkToFit="false"/>
      <protection locked="true" hidden="false"/>
    </xf>
    <xf numFmtId="164" fontId="7" fillId="3" borderId="1" xfId="0" applyFont="true" applyBorder="true" applyAlignment="true" applyProtection="false">
      <alignment horizontal="center"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14" fillId="4"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A6A6A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5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2"/>
    <col collapsed="false" customWidth="true" hidden="false" outlineLevel="0" max="3" min="3" style="1" width="95"/>
  </cols>
  <sheetData>
    <row r="2" customFormat="false" ht="23.25" hidden="false" customHeight="true" outlineLevel="0" collapsed="false">
      <c r="B2" s="2" t="s">
        <v>0</v>
      </c>
    </row>
    <row r="4" customFormat="false" ht="15" hidden="false" customHeight="true" outlineLevel="0" collapsed="false">
      <c r="B4" s="3" t="s">
        <v>1</v>
      </c>
      <c r="C4" s="4" t="s">
        <v>2</v>
      </c>
    </row>
    <row r="5" customFormat="false" ht="15" hidden="false" customHeight="true" outlineLevel="0" collapsed="false">
      <c r="B5" s="3" t="s">
        <v>3</v>
      </c>
      <c r="C5" s="5" t="s">
        <v>4</v>
      </c>
    </row>
    <row r="6" customFormat="false" ht="15" hidden="false" customHeight="true" outlineLevel="0" collapsed="false">
      <c r="B6" s="3" t="s">
        <v>5</v>
      </c>
      <c r="C6" s="4" t="s">
        <v>6</v>
      </c>
    </row>
    <row r="7" customFormat="false" ht="15" hidden="false" customHeight="true" outlineLevel="0" collapsed="false">
      <c r="B7" s="3" t="s">
        <v>7</v>
      </c>
      <c r="C7" s="4" t="s">
        <v>8</v>
      </c>
    </row>
    <row r="8" customFormat="false" ht="15" hidden="false" customHeight="true" outlineLevel="0" collapsed="false">
      <c r="B8" s="3" t="s">
        <v>9</v>
      </c>
      <c r="C8" s="5" t="s">
        <v>10</v>
      </c>
    </row>
    <row r="9" customFormat="false" ht="15" hidden="false" customHeight="true" outlineLevel="0" collapsed="false">
      <c r="B9" s="3" t="s">
        <v>11</v>
      </c>
      <c r="C9" s="4" t="s">
        <v>12</v>
      </c>
    </row>
    <row r="10" customFormat="false" ht="15" hidden="false" customHeight="true" outlineLevel="0" collapsed="false">
      <c r="B10" s="3" t="s">
        <v>13</v>
      </c>
      <c r="C10" s="5" t="s">
        <v>14</v>
      </c>
    </row>
    <row r="12" customFormat="false" ht="15" hidden="false" customHeight="true" outlineLevel="0" collapsed="false">
      <c r="B12" s="6" t="s">
        <v>15</v>
      </c>
    </row>
    <row r="13" customFormat="false" ht="43.5" hidden="false" customHeight="true" outlineLevel="0" collapsed="false">
      <c r="C13" s="7" t="s">
        <v>16</v>
      </c>
    </row>
    <row r="15" customFormat="false" ht="15" hidden="false" customHeight="true" outlineLevel="0" collapsed="false">
      <c r="B15" s="6" t="s">
        <v>17</v>
      </c>
    </row>
    <row r="16" customFormat="false" ht="15" hidden="false" customHeight="true" outlineLevel="0" collapsed="false">
      <c r="C16" s="7" t="s">
        <v>18</v>
      </c>
    </row>
    <row r="17" customFormat="false" ht="15" hidden="false" customHeight="true" outlineLevel="0" collapsed="false">
      <c r="C17" s="7" t="s">
        <v>19</v>
      </c>
    </row>
    <row r="18" customFormat="false" ht="15" hidden="false" customHeight="true" outlineLevel="0" collapsed="false">
      <c r="C18" s="7" t="s">
        <v>20</v>
      </c>
    </row>
    <row r="19" customFormat="false" ht="15" hidden="false" customHeight="true" outlineLevel="0" collapsed="false">
      <c r="C19" s="7" t="s">
        <v>21</v>
      </c>
    </row>
    <row r="20" customFormat="false" ht="15" hidden="false" customHeight="true" outlineLevel="0" collapsed="false">
      <c r="C20" s="7" t="s">
        <v>22</v>
      </c>
    </row>
    <row r="22" customFormat="false" ht="15" hidden="false" customHeight="true" outlineLevel="0" collapsed="false">
      <c r="B22" s="6" t="s">
        <v>23</v>
      </c>
    </row>
    <row r="23" customFormat="false" ht="15" hidden="false" customHeight="true" outlineLevel="0" collapsed="false">
      <c r="C23" s="7" t="s">
        <v>24</v>
      </c>
    </row>
    <row r="24" customFormat="false" ht="15" hidden="false" customHeight="true" outlineLevel="0" collapsed="false">
      <c r="C24" s="7" t="s">
        <v>25</v>
      </c>
    </row>
    <row r="26" customFormat="false" ht="15" hidden="false" customHeight="true" outlineLevel="0" collapsed="false">
      <c r="B26" s="6" t="s">
        <v>26</v>
      </c>
    </row>
    <row r="27" customFormat="false" ht="15" hidden="false" customHeight="true" outlineLevel="0" collapsed="false">
      <c r="C27" s="7" t="s">
        <v>27</v>
      </c>
    </row>
    <row r="28" customFormat="false" ht="15" hidden="false" customHeight="true" outlineLevel="0" collapsed="false">
      <c r="C28" s="7" t="s">
        <v>28</v>
      </c>
    </row>
    <row r="29" customFormat="false" ht="15" hidden="false" customHeight="true" outlineLevel="0" collapsed="false">
      <c r="C29" s="7" t="s">
        <v>29</v>
      </c>
    </row>
    <row r="31" customFormat="false" ht="15" hidden="false" customHeight="true" outlineLevel="0" collapsed="false">
      <c r="B31" s="6" t="s">
        <v>30</v>
      </c>
    </row>
    <row r="32" customFormat="false" ht="15" hidden="false" customHeight="true" outlineLevel="0" collapsed="false">
      <c r="C32" s="7" t="s">
        <v>31</v>
      </c>
    </row>
    <row r="33" customFormat="false" ht="15" hidden="false" customHeight="true" outlineLevel="0" collapsed="false">
      <c r="C33" s="7" t="s">
        <v>32</v>
      </c>
    </row>
    <row r="34" customFormat="false" ht="15" hidden="false" customHeight="true" outlineLevel="0" collapsed="false">
      <c r="C34" s="7" t="s">
        <v>33</v>
      </c>
    </row>
    <row r="35" customFormat="false" ht="15" hidden="false" customHeight="true" outlineLevel="0" collapsed="false">
      <c r="C35" s="7" t="s">
        <v>34</v>
      </c>
    </row>
    <row r="37" customFormat="false" ht="15" hidden="false" customHeight="true" outlineLevel="0" collapsed="false">
      <c r="B37" s="6" t="s">
        <v>35</v>
      </c>
    </row>
    <row r="38" customFormat="false" ht="15" hidden="false" customHeight="true" outlineLevel="0" collapsed="false">
      <c r="C38" s="7" t="s">
        <v>36</v>
      </c>
    </row>
    <row r="39" customFormat="false" ht="15" hidden="false" customHeight="true" outlineLevel="0" collapsed="false">
      <c r="C39" s="7" t="s">
        <v>37</v>
      </c>
    </row>
    <row r="40" customFormat="false" ht="15" hidden="false" customHeight="true" outlineLevel="0" collapsed="false">
      <c r="C40" s="7" t="s">
        <v>38</v>
      </c>
    </row>
    <row r="41" customFormat="false" ht="15" hidden="false" customHeight="true" outlineLevel="0" collapsed="false">
      <c r="C41" s="7" t="s">
        <v>39</v>
      </c>
    </row>
    <row r="42" customFormat="false" ht="15" hidden="false" customHeight="true" outlineLevel="0" collapsed="false">
      <c r="C42" s="7" t="s">
        <v>40</v>
      </c>
    </row>
    <row r="44" customFormat="false" ht="15" hidden="false" customHeight="true" outlineLevel="0" collapsed="false">
      <c r="B44" s="6" t="s">
        <v>41</v>
      </c>
    </row>
    <row r="45" customFormat="false" ht="15" hidden="false" customHeight="true" outlineLevel="0" collapsed="false">
      <c r="B45" s="8" t="s">
        <v>42</v>
      </c>
      <c r="C45" s="5" t="s">
        <v>43</v>
      </c>
    </row>
    <row r="46" customFormat="false" ht="15" hidden="false" customHeight="true" outlineLevel="0" collapsed="false">
      <c r="B46" s="3" t="s">
        <v>44</v>
      </c>
      <c r="C46" s="4" t="s">
        <v>45</v>
      </c>
    </row>
    <row r="47" customFormat="false" ht="15" hidden="false" customHeight="true" outlineLevel="0" collapsed="false">
      <c r="B47" s="9" t="s">
        <v>46</v>
      </c>
      <c r="C47" s="5" t="s">
        <v>47</v>
      </c>
    </row>
    <row r="48" customFormat="false" ht="15" hidden="false" customHeight="true" outlineLevel="0" collapsed="false">
      <c r="B48" s="3" t="s">
        <v>48</v>
      </c>
      <c r="C48" s="5" t="s">
        <v>49</v>
      </c>
    </row>
    <row r="49" customFormat="false" ht="15" hidden="false" customHeight="true" outlineLevel="0" collapsed="false">
      <c r="B49" s="3" t="s">
        <v>50</v>
      </c>
      <c r="C49" s="5" t="s">
        <v>51</v>
      </c>
    </row>
    <row r="50" customFormat="false" ht="15" hidden="false" customHeight="true" outlineLevel="0" collapsed="false">
      <c r="B50" s="3" t="s">
        <v>52</v>
      </c>
      <c r="C50" s="5" t="s">
        <v>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9" min="2" style="1" width="10"/>
  </cols>
  <sheetData>
    <row r="1" customFormat="false" ht="15.75" hidden="false" customHeight="true" outlineLevel="0" collapsed="false">
      <c r="A1" s="10" t="s">
        <v>54</v>
      </c>
    </row>
    <row r="3" customFormat="false" ht="15" hidden="false" customHeight="true" outlineLevel="0" collapsed="false">
      <c r="A3" s="11" t="s">
        <v>55</v>
      </c>
      <c r="B3" s="11" t="s">
        <v>56</v>
      </c>
      <c r="C3" s="12" t="s">
        <v>57</v>
      </c>
      <c r="D3" s="12" t="s">
        <v>58</v>
      </c>
      <c r="E3" s="11" t="s">
        <v>59</v>
      </c>
      <c r="F3" s="11" t="s">
        <v>23</v>
      </c>
      <c r="G3" s="11" t="s">
        <v>60</v>
      </c>
      <c r="H3" s="11" t="s">
        <v>61</v>
      </c>
      <c r="I3" s="11" t="s">
        <v>62</v>
      </c>
    </row>
    <row r="4" customFormat="false" ht="15" hidden="false" customHeight="true" outlineLevel="0" collapsed="false">
      <c r="A4" s="13" t="s">
        <v>63</v>
      </c>
      <c r="B4" s="13" t="n">
        <f aca="false">COUNTIFS(試験項目!$C$2:$C$165,"業務シナリオ")</f>
        <v>24</v>
      </c>
      <c r="C4" s="13" t="n">
        <f aca="false">COUNTIFS(試験項目!$C$2:$C$165,"業務シナリオ",試験項目!$N$2:$N$165,"OK")</f>
        <v>0</v>
      </c>
      <c r="D4" s="13" t="n">
        <f aca="false">COUNTIFS(試験項目!$C$2:$C$165,"業務シナリオ",試験項目!$N$2:$N$165,"NG")</f>
        <v>0</v>
      </c>
      <c r="E4" s="13" t="n">
        <f aca="false">COUNTIFS(試験項目!$C$2:$C$165,"業務シナリオ",試験項目!$N$2:$N$165,"保留")</f>
        <v>0</v>
      </c>
      <c r="F4" s="13" t="n">
        <f aca="false">COUNTIFS(試験項目!$C$2:$C$165,"業務シナリオ",試験項目!$N$2:$N$165,"対象外")</f>
        <v>0</v>
      </c>
      <c r="G4" s="13" t="n">
        <f aca="false">B4-SUM(C4:F4)</f>
        <v>24</v>
      </c>
      <c r="H4" s="14" t="n">
        <f aca="false">IF(B4=0,0,SUM(C4:F4)/B4)</f>
        <v>0</v>
      </c>
      <c r="I4" s="14" t="n">
        <f aca="false">IF(SUM(C4:E4)=0,0,C4/SUM(C4:E4))</f>
        <v>0</v>
      </c>
    </row>
    <row r="5" customFormat="false" ht="15" hidden="false" customHeight="true" outlineLevel="0" collapsed="false">
      <c r="A5" s="13" t="s">
        <v>64</v>
      </c>
      <c r="B5" s="13" t="n">
        <f aca="false">COUNTIFS(試験項目!$C$2:$C$165,"プラットフォーム互換")</f>
        <v>12</v>
      </c>
      <c r="C5" s="13" t="n">
        <f aca="false">COUNTIFS(試験項目!$C$2:$C$165,"プラットフォーム互換",試験項目!$N$2:$N$165,"OK")</f>
        <v>0</v>
      </c>
      <c r="D5" s="13" t="n">
        <f aca="false">COUNTIFS(試験項目!$C$2:$C$165,"プラットフォーム互換",試験項目!$N$2:$N$165,"NG")</f>
        <v>0</v>
      </c>
      <c r="E5" s="13" t="n">
        <f aca="false">COUNTIFS(試験項目!$C$2:$C$165,"プラットフォーム互換",試験項目!$N$2:$N$165,"保留")</f>
        <v>0</v>
      </c>
      <c r="F5" s="13" t="n">
        <f aca="false">COUNTIFS(試験項目!$C$2:$C$165,"プラットフォーム互換",試験項目!$N$2:$N$165,"対象外")</f>
        <v>0</v>
      </c>
      <c r="G5" s="13" t="n">
        <f aca="false">B5-SUM(C5:F5)</f>
        <v>12</v>
      </c>
      <c r="H5" s="14" t="n">
        <f aca="false">IF(B5=0,0,SUM(C5:F5)/B5)</f>
        <v>0</v>
      </c>
      <c r="I5" s="14" t="n">
        <f aca="false">IF(SUM(C5:E5)=0,0,C5/SUM(C5:E5))</f>
        <v>0</v>
      </c>
    </row>
    <row r="6" customFormat="false" ht="15" hidden="false" customHeight="true" outlineLevel="0" collapsed="false">
      <c r="A6" s="13" t="s">
        <v>65</v>
      </c>
      <c r="B6" s="13" t="n">
        <f aca="false">COUNTIFS(試験項目!$C$2:$C$165,"性能")</f>
        <v>17</v>
      </c>
      <c r="C6" s="13" t="n">
        <f aca="false">COUNTIFS(試験項目!$C$2:$C$165,"性能",試験項目!$N$2:$N$165,"OK")</f>
        <v>0</v>
      </c>
      <c r="D6" s="13" t="n">
        <f aca="false">COUNTIFS(試験項目!$C$2:$C$165,"性能",試験項目!$N$2:$N$165,"NG")</f>
        <v>0</v>
      </c>
      <c r="E6" s="13" t="n">
        <f aca="false">COUNTIFS(試験項目!$C$2:$C$165,"性能",試験項目!$N$2:$N$165,"保留")</f>
        <v>0</v>
      </c>
      <c r="F6" s="13" t="n">
        <f aca="false">COUNTIFS(試験項目!$C$2:$C$165,"性能",試験項目!$N$2:$N$165,"対象外")</f>
        <v>0</v>
      </c>
      <c r="G6" s="13" t="n">
        <f aca="false">B6-SUM(C6:F6)</f>
        <v>17</v>
      </c>
      <c r="H6" s="14" t="n">
        <f aca="false">IF(B6=0,0,SUM(C6:F6)/B6)</f>
        <v>0</v>
      </c>
      <c r="I6" s="14" t="n">
        <f aca="false">IF(SUM(C6:E6)=0,0,C6/SUM(C6:E6))</f>
        <v>0</v>
      </c>
    </row>
    <row r="7" customFormat="false" ht="15" hidden="false" customHeight="true" outlineLevel="0" collapsed="false">
      <c r="A7" s="13" t="s">
        <v>66</v>
      </c>
      <c r="B7" s="13" t="n">
        <f aca="false">COUNTIFS(試験項目!$C$2:$C$165,"可用性・障害")</f>
        <v>10</v>
      </c>
      <c r="C7" s="13" t="n">
        <f aca="false">COUNTIFS(試験項目!$C$2:$C$165,"可用性・障害",試験項目!$N$2:$N$165,"OK")</f>
        <v>0</v>
      </c>
      <c r="D7" s="13" t="n">
        <f aca="false">COUNTIFS(試験項目!$C$2:$C$165,"可用性・障害",試験項目!$N$2:$N$165,"NG")</f>
        <v>0</v>
      </c>
      <c r="E7" s="13" t="n">
        <f aca="false">COUNTIFS(試験項目!$C$2:$C$165,"可用性・障害",試験項目!$N$2:$N$165,"保留")</f>
        <v>0</v>
      </c>
      <c r="F7" s="13" t="n">
        <f aca="false">COUNTIFS(試験項目!$C$2:$C$165,"可用性・障害",試験項目!$N$2:$N$165,"対象外")</f>
        <v>0</v>
      </c>
      <c r="G7" s="13" t="n">
        <f aca="false">B7-SUM(C7:F7)</f>
        <v>10</v>
      </c>
      <c r="H7" s="14" t="n">
        <f aca="false">IF(B7=0,0,SUM(C7:F7)/B7)</f>
        <v>0</v>
      </c>
      <c r="I7" s="14" t="n">
        <f aca="false">IF(SUM(C7:E7)=0,0,C7/SUM(C7:E7))</f>
        <v>0</v>
      </c>
    </row>
    <row r="8" customFormat="false" ht="15" hidden="false" customHeight="true" outlineLevel="0" collapsed="false">
      <c r="A8" s="13" t="s">
        <v>67</v>
      </c>
      <c r="B8" s="13" t="n">
        <f aca="false">COUNTIFS(試験項目!$C$2:$C$165,"セキュリティ")</f>
        <v>24</v>
      </c>
      <c r="C8" s="13" t="n">
        <f aca="false">COUNTIFS(試験項目!$C$2:$C$165,"セキュリティ",試験項目!$N$2:$N$165,"OK")</f>
        <v>0</v>
      </c>
      <c r="D8" s="13" t="n">
        <f aca="false">COUNTIFS(試験項目!$C$2:$C$165,"セキュリティ",試験項目!$N$2:$N$165,"NG")</f>
        <v>0</v>
      </c>
      <c r="E8" s="13" t="n">
        <f aca="false">COUNTIFS(試験項目!$C$2:$C$165,"セキュリティ",試験項目!$N$2:$N$165,"保留")</f>
        <v>0</v>
      </c>
      <c r="F8" s="13" t="n">
        <f aca="false">COUNTIFS(試験項目!$C$2:$C$165,"セキュリティ",試験項目!$N$2:$N$165,"対象外")</f>
        <v>0</v>
      </c>
      <c r="G8" s="13" t="n">
        <f aca="false">B8-SUM(C8:F8)</f>
        <v>24</v>
      </c>
      <c r="H8" s="14" t="n">
        <f aca="false">IF(B8=0,0,SUM(C8:F8)/B8)</f>
        <v>0</v>
      </c>
      <c r="I8" s="14" t="n">
        <f aca="false">IF(SUM(C8:E8)=0,0,C8/SUM(C8:E8))</f>
        <v>0</v>
      </c>
    </row>
    <row r="9" customFormat="false" ht="15" hidden="false" customHeight="true" outlineLevel="0" collapsed="false">
      <c r="A9" s="13" t="s">
        <v>68</v>
      </c>
      <c r="B9" s="13" t="n">
        <f aca="false">COUNTIFS(試験項目!$C$2:$C$165,"個人情報保護")</f>
        <v>7</v>
      </c>
      <c r="C9" s="13" t="n">
        <f aca="false">COUNTIFS(試験項目!$C$2:$C$165,"個人情報保護",試験項目!$N$2:$N$165,"OK")</f>
        <v>0</v>
      </c>
      <c r="D9" s="13" t="n">
        <f aca="false">COUNTIFS(試験項目!$C$2:$C$165,"個人情報保護",試験項目!$N$2:$N$165,"NG")</f>
        <v>0</v>
      </c>
      <c r="E9" s="13" t="n">
        <f aca="false">COUNTIFS(試験項目!$C$2:$C$165,"個人情報保護",試験項目!$N$2:$N$165,"保留")</f>
        <v>0</v>
      </c>
      <c r="F9" s="13" t="n">
        <f aca="false">COUNTIFS(試験項目!$C$2:$C$165,"個人情報保護",試験項目!$N$2:$N$165,"対象外")</f>
        <v>0</v>
      </c>
      <c r="G9" s="13" t="n">
        <f aca="false">B9-SUM(C9:F9)</f>
        <v>7</v>
      </c>
      <c r="H9" s="14" t="n">
        <f aca="false">IF(B9=0,0,SUM(C9:F9)/B9)</f>
        <v>0</v>
      </c>
      <c r="I9" s="14" t="n">
        <f aca="false">IF(SUM(C9:E9)=0,0,C9/SUM(C9:E9))</f>
        <v>0</v>
      </c>
    </row>
    <row r="10" customFormat="false" ht="15" hidden="false" customHeight="true" outlineLevel="0" collapsed="false">
      <c r="A10" s="13" t="s">
        <v>69</v>
      </c>
      <c r="B10" s="13" t="n">
        <f aca="false">COUNTIFS(試験項目!$C$2:$C$165,"運用・保守")</f>
        <v>21</v>
      </c>
      <c r="C10" s="13" t="n">
        <f aca="false">COUNTIFS(試験項目!$C$2:$C$165,"運用・保守",試験項目!$N$2:$N$165,"OK")</f>
        <v>0</v>
      </c>
      <c r="D10" s="13" t="n">
        <f aca="false">COUNTIFS(試験項目!$C$2:$C$165,"運用・保守",試験項目!$N$2:$N$165,"NG")</f>
        <v>0</v>
      </c>
      <c r="E10" s="13" t="n">
        <f aca="false">COUNTIFS(試験項目!$C$2:$C$165,"運用・保守",試験項目!$N$2:$N$165,"保留")</f>
        <v>0</v>
      </c>
      <c r="F10" s="13" t="n">
        <f aca="false">COUNTIFS(試験項目!$C$2:$C$165,"運用・保守",試験項目!$N$2:$N$165,"対象外")</f>
        <v>0</v>
      </c>
      <c r="G10" s="13" t="n">
        <f aca="false">B10-SUM(C10:F10)</f>
        <v>21</v>
      </c>
      <c r="H10" s="14" t="n">
        <f aca="false">IF(B10=0,0,SUM(C10:F10)/B10)</f>
        <v>0</v>
      </c>
      <c r="I10" s="14" t="n">
        <f aca="false">IF(SUM(C10:E10)=0,0,C10/SUM(C10:E10))</f>
        <v>0</v>
      </c>
    </row>
    <row r="11" customFormat="false" ht="15" hidden="false" customHeight="true" outlineLevel="0" collapsed="false">
      <c r="A11" s="13" t="s">
        <v>70</v>
      </c>
      <c r="B11" s="13" t="n">
        <f aca="false">COUNTIFS(試験項目!$C$2:$C$165,"デプロイ・環境")</f>
        <v>7</v>
      </c>
      <c r="C11" s="13" t="n">
        <f aca="false">COUNTIFS(試験項目!$C$2:$C$165,"デプロイ・環境",試験項目!$N$2:$N$165,"OK")</f>
        <v>0</v>
      </c>
      <c r="D11" s="13" t="n">
        <f aca="false">COUNTIFS(試験項目!$C$2:$C$165,"デプロイ・環境",試験項目!$N$2:$N$165,"NG")</f>
        <v>0</v>
      </c>
      <c r="E11" s="13" t="n">
        <f aca="false">COUNTIFS(試験項目!$C$2:$C$165,"デプロイ・環境",試験項目!$N$2:$N$165,"保留")</f>
        <v>0</v>
      </c>
      <c r="F11" s="13" t="n">
        <f aca="false">COUNTIFS(試験項目!$C$2:$C$165,"デプロイ・環境",試験項目!$N$2:$N$165,"対象外")</f>
        <v>0</v>
      </c>
      <c r="G11" s="13" t="n">
        <f aca="false">B11-SUM(C11:F11)</f>
        <v>7</v>
      </c>
      <c r="H11" s="14" t="n">
        <f aca="false">IF(B11=0,0,SUM(C11:F11)/B11)</f>
        <v>0</v>
      </c>
      <c r="I11" s="14" t="n">
        <f aca="false">IF(SUM(C11:E11)=0,0,C11/SUM(C11:E11))</f>
        <v>0</v>
      </c>
    </row>
    <row r="12" customFormat="false" ht="15" hidden="false" customHeight="true" outlineLevel="0" collapsed="false">
      <c r="A12" s="13" t="s">
        <v>71</v>
      </c>
      <c r="B12" s="13" t="n">
        <f aca="false">COUNTIFS(試験項目!$C$2:$C$165,"ユーザビリティ")</f>
        <v>9</v>
      </c>
      <c r="C12" s="13" t="n">
        <f aca="false">COUNTIFS(試験項目!$C$2:$C$165,"ユーザビリティ",試験項目!$N$2:$N$165,"OK")</f>
        <v>0</v>
      </c>
      <c r="D12" s="13" t="n">
        <f aca="false">COUNTIFS(試験項目!$C$2:$C$165,"ユーザビリティ",試験項目!$N$2:$N$165,"NG")</f>
        <v>0</v>
      </c>
      <c r="E12" s="13" t="n">
        <f aca="false">COUNTIFS(試験項目!$C$2:$C$165,"ユーザビリティ",試験項目!$N$2:$N$165,"保留")</f>
        <v>0</v>
      </c>
      <c r="F12" s="13" t="n">
        <f aca="false">COUNTIFS(試験項目!$C$2:$C$165,"ユーザビリティ",試験項目!$N$2:$N$165,"対象外")</f>
        <v>0</v>
      </c>
      <c r="G12" s="13" t="n">
        <f aca="false">B12-SUM(C12:F12)</f>
        <v>9</v>
      </c>
      <c r="H12" s="14" t="n">
        <f aca="false">IF(B12=0,0,SUM(C12:F12)/B12)</f>
        <v>0</v>
      </c>
      <c r="I12" s="14" t="n">
        <f aca="false">IF(SUM(C12:E12)=0,0,C12/SUM(C12:E12))</f>
        <v>0</v>
      </c>
    </row>
    <row r="13" customFormat="false" ht="15" hidden="false" customHeight="true" outlineLevel="0" collapsed="false">
      <c r="A13" s="13" t="s">
        <v>72</v>
      </c>
      <c r="B13" s="13" t="n">
        <f aca="false">COUNTIFS(試験項目!$C$2:$C$165,"データ整合")</f>
        <v>5</v>
      </c>
      <c r="C13" s="13" t="n">
        <f aca="false">COUNTIFS(試験項目!$C$2:$C$165,"データ整合",試験項目!$N$2:$N$165,"OK")</f>
        <v>0</v>
      </c>
      <c r="D13" s="13" t="n">
        <f aca="false">COUNTIFS(試験項目!$C$2:$C$165,"データ整合",試験項目!$N$2:$N$165,"NG")</f>
        <v>0</v>
      </c>
      <c r="E13" s="13" t="n">
        <f aca="false">COUNTIFS(試験項目!$C$2:$C$165,"データ整合",試験項目!$N$2:$N$165,"保留")</f>
        <v>0</v>
      </c>
      <c r="F13" s="13" t="n">
        <f aca="false">COUNTIFS(試験項目!$C$2:$C$165,"データ整合",試験項目!$N$2:$N$165,"対象外")</f>
        <v>0</v>
      </c>
      <c r="G13" s="13" t="n">
        <f aca="false">B13-SUM(C13:F13)</f>
        <v>5</v>
      </c>
      <c r="H13" s="14" t="n">
        <f aca="false">IF(B13=0,0,SUM(C13:F13)/B13)</f>
        <v>0</v>
      </c>
      <c r="I13" s="14" t="n">
        <f aca="false">IF(SUM(C13:E13)=0,0,C13/SUM(C13:E13))</f>
        <v>0</v>
      </c>
    </row>
    <row r="14" customFormat="false" ht="15" hidden="false" customHeight="true" outlineLevel="0" collapsed="false">
      <c r="A14" s="13" t="s">
        <v>73</v>
      </c>
      <c r="B14" s="13" t="n">
        <f aca="false">COUNTIFS(試験項目!$C$2:$C$165,"リリース判定")</f>
        <v>5</v>
      </c>
      <c r="C14" s="13" t="n">
        <f aca="false">COUNTIFS(試験項目!$C$2:$C$165,"リリース判定",試験項目!$N$2:$N$165,"OK")</f>
        <v>0</v>
      </c>
      <c r="D14" s="13" t="n">
        <f aca="false">COUNTIFS(試験項目!$C$2:$C$165,"リリース判定",試験項目!$N$2:$N$165,"NG")</f>
        <v>0</v>
      </c>
      <c r="E14" s="13" t="n">
        <f aca="false">COUNTIFS(試験項目!$C$2:$C$165,"リリース判定",試験項目!$N$2:$N$165,"保留")</f>
        <v>0</v>
      </c>
      <c r="F14" s="13" t="n">
        <f aca="false">COUNTIFS(試験項目!$C$2:$C$165,"リリース判定",試験項目!$N$2:$N$165,"対象外")</f>
        <v>0</v>
      </c>
      <c r="G14" s="13" t="n">
        <f aca="false">B14-SUM(C14:F14)</f>
        <v>5</v>
      </c>
      <c r="H14" s="14" t="n">
        <f aca="false">IF(B14=0,0,SUM(C14:F14)/B14)</f>
        <v>0</v>
      </c>
      <c r="I14" s="14" t="n">
        <f aca="false">IF(SUM(C14:E14)=0,0,C14/SUM(C14:E14))</f>
        <v>0</v>
      </c>
    </row>
    <row r="15" customFormat="false" ht="15" hidden="false" customHeight="true" outlineLevel="0" collapsed="false">
      <c r="A15" s="15" t="s">
        <v>74</v>
      </c>
      <c r="B15" s="15" t="n">
        <f aca="false">COUNTIFS(試験項目!$C$2:$C$165,"AI計画品質")</f>
        <v>23</v>
      </c>
      <c r="C15" s="15" t="n">
        <f aca="false">COUNTIFS(試験項目!$C$2:$C$165,"AI計画品質",試験項目!$N$2:$N$165,"OK")</f>
        <v>0</v>
      </c>
      <c r="D15" s="15" t="n">
        <f aca="false">COUNTIFS(試験項目!$C$2:$C$165,"AI計画品質",試験項目!$N$2:$N$165,"NG")</f>
        <v>0</v>
      </c>
      <c r="E15" s="15" t="n">
        <f aca="false">COUNTIFS(試験項目!$C$2:$C$165,"AI計画品質",試験項目!$N$2:$N$165,"保留")</f>
        <v>0</v>
      </c>
      <c r="F15" s="15" t="n">
        <f aca="false">COUNTIFS(試験項目!$C$2:$C$165,"AI計画品質",試験項目!$N$2:$N$165,"対象外")</f>
        <v>0</v>
      </c>
      <c r="G15" s="15" t="n">
        <f aca="false">B15-SUM(C15:F15)</f>
        <v>23</v>
      </c>
      <c r="H15" s="14" t="n">
        <f aca="false">IF(B15=0,0,SUM(C15:F15)/B15)</f>
        <v>0</v>
      </c>
      <c r="I15" s="14" t="n">
        <f aca="false">IF(SUM(C15:E15)=0,0,C15/SUM(C15:E15))</f>
        <v>0</v>
      </c>
    </row>
    <row r="16" customFormat="false" ht="15" hidden="false" customHeight="true" outlineLevel="0" collapsed="false">
      <c r="A16" s="16" t="s">
        <v>75</v>
      </c>
      <c r="B16" s="16" t="n">
        <f aca="false">SUM(B4:B15)</f>
        <v>164</v>
      </c>
      <c r="C16" s="16" t="n">
        <f aca="false">SUM(C4:C15)</f>
        <v>0</v>
      </c>
      <c r="D16" s="16" t="n">
        <f aca="false">SUM(D4:D15)</f>
        <v>0</v>
      </c>
      <c r="E16" s="16" t="n">
        <f aca="false">SUM(E4:E15)</f>
        <v>0</v>
      </c>
      <c r="F16" s="16" t="n">
        <f aca="false">SUM(F4:F15)</f>
        <v>0</v>
      </c>
      <c r="G16" s="16" t="n">
        <f aca="false">SUM(G4:G15)</f>
        <v>164</v>
      </c>
      <c r="H16" s="17" t="n">
        <f aca="false">IF(B16=0,0,SUM(C16:F16)/B16)</f>
        <v>0</v>
      </c>
      <c r="I16" s="17" t="n">
        <f aca="false">IF(SUM(C16:E16)=0,0,C16/SUM(C16:E16))</f>
        <v>0</v>
      </c>
    </row>
    <row r="18" customFormat="false" ht="15" hidden="false" customHeight="true" outlineLevel="0" collapsed="false">
      <c r="A18" s="11" t="s">
        <v>50</v>
      </c>
      <c r="B18" s="11" t="s">
        <v>56</v>
      </c>
      <c r="C18" s="12" t="s">
        <v>57</v>
      </c>
      <c r="D18" s="12" t="s">
        <v>58</v>
      </c>
      <c r="E18" s="11" t="s">
        <v>59</v>
      </c>
      <c r="F18" s="11" t="s">
        <v>23</v>
      </c>
      <c r="G18" s="11" t="s">
        <v>60</v>
      </c>
      <c r="H18" s="11" t="s">
        <v>61</v>
      </c>
      <c r="I18" s="11" t="s">
        <v>62</v>
      </c>
    </row>
    <row r="19" customFormat="false" ht="15" hidden="false" customHeight="true" outlineLevel="0" collapsed="false">
      <c r="A19" s="13" t="s">
        <v>76</v>
      </c>
      <c r="B19" s="15" t="n">
        <f aca="false">COUNTIFS(試験項目!$J$2:$J$165,"高")</f>
        <v>57</v>
      </c>
      <c r="C19" s="15" t="n">
        <f aca="false">COUNTIFS(試験項目!$J$2:$J$165,"高",試験項目!$N$2:$N$165,"OK")</f>
        <v>0</v>
      </c>
      <c r="D19" s="15" t="n">
        <f aca="false">COUNTIFS(試験項目!$J$2:$J$165,"高",試験項目!$N$2:$N$165,"NG")</f>
        <v>0</v>
      </c>
      <c r="E19" s="15" t="n">
        <f aca="false">COUNTIFS(試験項目!$J$2:$J$165,"高",試験項目!$N$2:$N$165,"保留")</f>
        <v>0</v>
      </c>
      <c r="F19" s="15" t="n">
        <f aca="false">COUNTIFS(試験項目!$J$2:$J$165,"高",試験項目!$N$2:$N$165,"対象外")</f>
        <v>0</v>
      </c>
      <c r="G19" s="15" t="n">
        <f aca="false">B19-SUM(C19:F19)</f>
        <v>57</v>
      </c>
      <c r="H19" s="14" t="n">
        <f aca="false">IF(B19=0,0,SUM(C19:F19)/B19)</f>
        <v>0</v>
      </c>
      <c r="I19" s="14" t="n">
        <f aca="false">IF(SUM(C19:E19)=0,0,C19/SUM(C19:E19))</f>
        <v>0</v>
      </c>
    </row>
    <row r="20" customFormat="false" ht="15" hidden="false" customHeight="true" outlineLevel="0" collapsed="false">
      <c r="A20" s="13" t="s">
        <v>77</v>
      </c>
      <c r="B20" s="15" t="n">
        <f aca="false">COUNTIFS(試験項目!$J$2:$J$165,"中")</f>
        <v>93</v>
      </c>
      <c r="C20" s="15" t="n">
        <f aca="false">COUNTIFS(試験項目!$J$2:$J$165,"中",試験項目!$N$2:$N$165,"OK")</f>
        <v>0</v>
      </c>
      <c r="D20" s="15" t="n">
        <f aca="false">COUNTIFS(試験項目!$J$2:$J$165,"中",試験項目!$N$2:$N$165,"NG")</f>
        <v>0</v>
      </c>
      <c r="E20" s="15" t="n">
        <f aca="false">COUNTIFS(試験項目!$J$2:$J$165,"中",試験項目!$N$2:$N$165,"保留")</f>
        <v>0</v>
      </c>
      <c r="F20" s="15" t="n">
        <f aca="false">COUNTIFS(試験項目!$J$2:$J$165,"中",試験項目!$N$2:$N$165,"対象外")</f>
        <v>0</v>
      </c>
      <c r="G20" s="15" t="n">
        <f aca="false">B20-SUM(C20:F20)</f>
        <v>93</v>
      </c>
      <c r="H20" s="14" t="n">
        <f aca="false">IF(B20=0,0,SUM(C20:F20)/B20)</f>
        <v>0</v>
      </c>
      <c r="I20" s="14" t="n">
        <f aca="false">IF(SUM(C20:E20)=0,0,C20/SUM(C20:E20))</f>
        <v>0</v>
      </c>
    </row>
    <row r="21" customFormat="false" ht="15" hidden="false" customHeight="true" outlineLevel="0" collapsed="false">
      <c r="A21" s="13" t="s">
        <v>78</v>
      </c>
      <c r="B21" s="15" t="n">
        <f aca="false">COUNTIFS(試験項目!$J$2:$J$165,"低")</f>
        <v>14</v>
      </c>
      <c r="C21" s="15" t="n">
        <f aca="false">COUNTIFS(試験項目!$J$2:$J$165,"低",試験項目!$N$2:$N$165,"OK")</f>
        <v>0</v>
      </c>
      <c r="D21" s="15" t="n">
        <f aca="false">COUNTIFS(試験項目!$J$2:$J$165,"低",試験項目!$N$2:$N$165,"NG")</f>
        <v>0</v>
      </c>
      <c r="E21" s="15" t="n">
        <f aca="false">COUNTIFS(試験項目!$J$2:$J$165,"低",試験項目!$N$2:$N$165,"保留")</f>
        <v>0</v>
      </c>
      <c r="F21" s="15" t="n">
        <f aca="false">COUNTIFS(試験項目!$J$2:$J$165,"低",試験項目!$N$2:$N$165,"対象外")</f>
        <v>0</v>
      </c>
      <c r="G21" s="15" t="n">
        <f aca="false">B21-SUM(C21:F21)</f>
        <v>14</v>
      </c>
      <c r="H21" s="14" t="n">
        <f aca="false">IF(B21=0,0,SUM(C21:F21)/B21)</f>
        <v>0</v>
      </c>
      <c r="I21" s="14" t="n">
        <f aca="false">IF(SUM(C21:E21)=0,0,C21/SUM(C21:E21))</f>
        <v>0</v>
      </c>
    </row>
    <row r="23" customFormat="false" ht="15" hidden="false" customHeight="true" outlineLevel="0" collapsed="false">
      <c r="A23" s="18" t="s">
        <v>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9"/>
    <col collapsed="false" customWidth="true" hidden="false" outlineLevel="0" max="3" min="3" style="1" width="14"/>
    <col collapsed="false" customWidth="true" hidden="false" outlineLevel="0" max="4" min="4" style="1" width="16"/>
    <col collapsed="false" customWidth="true" hidden="false" outlineLevel="0" max="5" min="5" style="1" width="22"/>
    <col collapsed="false" customWidth="true" hidden="false" outlineLevel="0" max="6" min="6" style="1" width="28"/>
    <col collapsed="false" customWidth="true" hidden="false" outlineLevel="0" max="8" min="7" style="1" width="46"/>
    <col collapsed="false" customWidth="true" hidden="false" outlineLevel="0" max="9" min="9" style="1" width="10"/>
    <col collapsed="false" customWidth="true" hidden="false" outlineLevel="0" max="10" min="10" style="1" width="7"/>
    <col collapsed="false" customWidth="true" hidden="false" outlineLevel="0" max="11" min="11" style="1" width="16"/>
    <col collapsed="false" customWidth="true" hidden="false" outlineLevel="0" max="12" min="12" style="1" width="11"/>
    <col collapsed="false" customWidth="true" hidden="false" outlineLevel="0" max="13" min="13" style="1" width="9"/>
    <col collapsed="false" customWidth="true" hidden="false" outlineLevel="0" max="14" min="14" style="1" width="8"/>
    <col collapsed="false" customWidth="true" hidden="false" outlineLevel="0" max="15" min="15" style="1" width="10"/>
    <col collapsed="false" customWidth="true" hidden="false" outlineLevel="0" max="16" min="16" style="1" width="22"/>
  </cols>
  <sheetData>
    <row r="1" customFormat="false" ht="27" hidden="false" customHeight="true" outlineLevel="0" collapsed="false">
      <c r="A1" s="12" t="s">
        <v>80</v>
      </c>
      <c r="B1" s="11" t="s">
        <v>81</v>
      </c>
      <c r="C1" s="11" t="s">
        <v>55</v>
      </c>
      <c r="D1" s="11" t="s">
        <v>82</v>
      </c>
      <c r="E1" s="11" t="s">
        <v>83</v>
      </c>
      <c r="F1" s="11" t="s">
        <v>84</v>
      </c>
      <c r="G1" s="11" t="s">
        <v>85</v>
      </c>
      <c r="H1" s="11" t="s">
        <v>86</v>
      </c>
      <c r="I1" s="11" t="s">
        <v>48</v>
      </c>
      <c r="J1" s="11" t="s">
        <v>50</v>
      </c>
      <c r="K1" s="11" t="s">
        <v>87</v>
      </c>
      <c r="L1" s="11" t="s">
        <v>88</v>
      </c>
      <c r="M1" s="11" t="s">
        <v>89</v>
      </c>
      <c r="N1" s="11" t="s">
        <v>44</v>
      </c>
      <c r="O1" s="11" t="s">
        <v>90</v>
      </c>
      <c r="P1" s="11" t="s">
        <v>91</v>
      </c>
    </row>
    <row r="2" customFormat="false" ht="57.75" hidden="false" customHeight="true" outlineLevel="0" collapsed="false">
      <c r="A2" s="19" t="n">
        <v>1</v>
      </c>
      <c r="B2" s="19" t="s">
        <v>92</v>
      </c>
      <c r="C2" s="5" t="s">
        <v>63</v>
      </c>
      <c r="D2" s="5" t="s">
        <v>93</v>
      </c>
      <c r="E2" s="5" t="s">
        <v>94</v>
      </c>
      <c r="F2" s="5" t="s">
        <v>95</v>
      </c>
      <c r="G2" s="4" t="s">
        <v>96</v>
      </c>
      <c r="H2" s="5" t="s">
        <v>97</v>
      </c>
      <c r="I2" s="20" t="s">
        <v>98</v>
      </c>
      <c r="J2" s="20" t="s">
        <v>76</v>
      </c>
      <c r="K2" s="5" t="s">
        <v>99</v>
      </c>
      <c r="L2" s="21"/>
      <c r="M2" s="22"/>
      <c r="N2" s="22"/>
      <c r="O2" s="22"/>
      <c r="P2" s="23"/>
    </row>
    <row r="3" customFormat="false" ht="57.75" hidden="false" customHeight="true" outlineLevel="0" collapsed="false">
      <c r="A3" s="19" t="n">
        <v>2</v>
      </c>
      <c r="B3" s="19" t="s">
        <v>100</v>
      </c>
      <c r="C3" s="5" t="s">
        <v>63</v>
      </c>
      <c r="D3" s="5" t="s">
        <v>101</v>
      </c>
      <c r="E3" s="5" t="s">
        <v>102</v>
      </c>
      <c r="F3" s="5" t="s">
        <v>103</v>
      </c>
      <c r="G3" s="4" t="s">
        <v>104</v>
      </c>
      <c r="H3" s="4" t="s">
        <v>105</v>
      </c>
      <c r="I3" s="20" t="s">
        <v>98</v>
      </c>
      <c r="J3" s="20" t="s">
        <v>76</v>
      </c>
      <c r="K3" s="5" t="s">
        <v>106</v>
      </c>
      <c r="L3" s="21"/>
      <c r="M3" s="22"/>
      <c r="N3" s="22"/>
      <c r="O3" s="22"/>
      <c r="P3" s="23"/>
    </row>
    <row r="4" customFormat="false" ht="57.75" hidden="false" customHeight="true" outlineLevel="0" collapsed="false">
      <c r="A4" s="19" t="n">
        <v>3</v>
      </c>
      <c r="B4" s="19" t="s">
        <v>107</v>
      </c>
      <c r="C4" s="5" t="s">
        <v>63</v>
      </c>
      <c r="D4" s="5" t="s">
        <v>101</v>
      </c>
      <c r="E4" s="5" t="s">
        <v>108</v>
      </c>
      <c r="F4" s="5" t="s">
        <v>109</v>
      </c>
      <c r="G4" s="4" t="s">
        <v>110</v>
      </c>
      <c r="H4" s="5" t="s">
        <v>111</v>
      </c>
      <c r="I4" s="20" t="s">
        <v>98</v>
      </c>
      <c r="J4" s="20" t="s">
        <v>76</v>
      </c>
      <c r="K4" s="5" t="s">
        <v>106</v>
      </c>
      <c r="L4" s="21"/>
      <c r="M4" s="22"/>
      <c r="N4" s="22"/>
      <c r="O4" s="22"/>
      <c r="P4" s="23"/>
    </row>
    <row r="5" customFormat="false" ht="29.25" hidden="false" customHeight="true" outlineLevel="0" collapsed="false">
      <c r="A5" s="19" t="n">
        <v>4</v>
      </c>
      <c r="B5" s="19" t="s">
        <v>112</v>
      </c>
      <c r="C5" s="5" t="s">
        <v>63</v>
      </c>
      <c r="D5" s="5" t="s">
        <v>101</v>
      </c>
      <c r="E5" s="5" t="s">
        <v>113</v>
      </c>
      <c r="F5" s="5" t="s">
        <v>103</v>
      </c>
      <c r="G5" s="4" t="s">
        <v>114</v>
      </c>
      <c r="H5" s="5" t="s">
        <v>115</v>
      </c>
      <c r="I5" s="20" t="s">
        <v>98</v>
      </c>
      <c r="J5" s="20" t="s">
        <v>76</v>
      </c>
      <c r="K5" s="5" t="s">
        <v>106</v>
      </c>
      <c r="L5" s="21"/>
      <c r="M5" s="22"/>
      <c r="N5" s="22"/>
      <c r="O5" s="22"/>
      <c r="P5" s="23"/>
    </row>
    <row r="6" customFormat="false" ht="29.25" hidden="false" customHeight="true" outlineLevel="0" collapsed="false">
      <c r="A6" s="19" t="n">
        <v>5</v>
      </c>
      <c r="B6" s="19" t="s">
        <v>116</v>
      </c>
      <c r="C6" s="5" t="s">
        <v>63</v>
      </c>
      <c r="D6" s="5" t="s">
        <v>101</v>
      </c>
      <c r="E6" s="5" t="s">
        <v>117</v>
      </c>
      <c r="F6" s="5" t="s">
        <v>103</v>
      </c>
      <c r="G6" s="4" t="s">
        <v>118</v>
      </c>
      <c r="H6" s="5" t="s">
        <v>119</v>
      </c>
      <c r="I6" s="20" t="s">
        <v>98</v>
      </c>
      <c r="J6" s="20" t="s">
        <v>76</v>
      </c>
      <c r="K6" s="5" t="s">
        <v>120</v>
      </c>
      <c r="L6" s="21"/>
      <c r="M6" s="22"/>
      <c r="N6" s="22"/>
      <c r="O6" s="22"/>
      <c r="P6" s="23"/>
    </row>
    <row r="7" customFormat="false" ht="29.25" hidden="false" customHeight="true" outlineLevel="0" collapsed="false">
      <c r="A7" s="19" t="n">
        <v>6</v>
      </c>
      <c r="B7" s="19" t="s">
        <v>121</v>
      </c>
      <c r="C7" s="5" t="s">
        <v>63</v>
      </c>
      <c r="D7" s="5" t="s">
        <v>101</v>
      </c>
      <c r="E7" s="5" t="s">
        <v>122</v>
      </c>
      <c r="F7" s="5" t="s">
        <v>103</v>
      </c>
      <c r="G7" s="4" t="s">
        <v>123</v>
      </c>
      <c r="H7" s="5" t="s">
        <v>124</v>
      </c>
      <c r="I7" s="20" t="s">
        <v>98</v>
      </c>
      <c r="J7" s="20" t="s">
        <v>77</v>
      </c>
      <c r="K7" s="5" t="s">
        <v>120</v>
      </c>
      <c r="L7" s="21"/>
      <c r="M7" s="22"/>
      <c r="N7" s="22"/>
      <c r="O7" s="22"/>
      <c r="P7" s="23"/>
    </row>
    <row r="8" customFormat="false" ht="69.75" hidden="false" customHeight="true" outlineLevel="0" collapsed="false">
      <c r="A8" s="19" t="n">
        <v>7</v>
      </c>
      <c r="B8" s="19" t="s">
        <v>125</v>
      </c>
      <c r="C8" s="5" t="s">
        <v>63</v>
      </c>
      <c r="D8" s="5" t="s">
        <v>126</v>
      </c>
      <c r="E8" s="5" t="s">
        <v>127</v>
      </c>
      <c r="F8" s="5" t="s">
        <v>128</v>
      </c>
      <c r="G8" s="4" t="s">
        <v>129</v>
      </c>
      <c r="H8" s="5" t="s">
        <v>130</v>
      </c>
      <c r="I8" s="20" t="s">
        <v>98</v>
      </c>
      <c r="J8" s="20" t="s">
        <v>76</v>
      </c>
      <c r="K8" s="5" t="s">
        <v>131</v>
      </c>
      <c r="L8" s="21"/>
      <c r="M8" s="22"/>
      <c r="N8" s="22"/>
      <c r="O8" s="22"/>
      <c r="P8" s="23"/>
    </row>
    <row r="9" customFormat="false" ht="29.25" hidden="false" customHeight="true" outlineLevel="0" collapsed="false">
      <c r="A9" s="19" t="n">
        <v>8</v>
      </c>
      <c r="B9" s="19" t="s">
        <v>132</v>
      </c>
      <c r="C9" s="5" t="s">
        <v>63</v>
      </c>
      <c r="D9" s="5" t="s">
        <v>126</v>
      </c>
      <c r="E9" s="5" t="s">
        <v>133</v>
      </c>
      <c r="F9" s="5" t="s">
        <v>103</v>
      </c>
      <c r="G9" s="4" t="s">
        <v>134</v>
      </c>
      <c r="H9" s="5" t="s">
        <v>135</v>
      </c>
      <c r="I9" s="20" t="s">
        <v>98</v>
      </c>
      <c r="J9" s="20" t="s">
        <v>77</v>
      </c>
      <c r="K9" s="5" t="s">
        <v>136</v>
      </c>
      <c r="L9" s="21"/>
      <c r="M9" s="22"/>
      <c r="N9" s="22"/>
      <c r="O9" s="22"/>
      <c r="P9" s="23"/>
    </row>
    <row r="10" customFormat="false" ht="29.25" hidden="false" customHeight="true" outlineLevel="0" collapsed="false">
      <c r="A10" s="19" t="n">
        <v>9</v>
      </c>
      <c r="B10" s="19" t="s">
        <v>137</v>
      </c>
      <c r="C10" s="5" t="s">
        <v>63</v>
      </c>
      <c r="D10" s="5" t="s">
        <v>126</v>
      </c>
      <c r="E10" s="5" t="s">
        <v>138</v>
      </c>
      <c r="F10" s="5" t="s">
        <v>103</v>
      </c>
      <c r="G10" s="4" t="s">
        <v>139</v>
      </c>
      <c r="H10" s="5" t="s">
        <v>140</v>
      </c>
      <c r="I10" s="20" t="s">
        <v>98</v>
      </c>
      <c r="J10" s="20" t="s">
        <v>77</v>
      </c>
      <c r="K10" s="5" t="s">
        <v>136</v>
      </c>
      <c r="L10" s="21"/>
      <c r="M10" s="22"/>
      <c r="N10" s="22"/>
      <c r="O10" s="22"/>
      <c r="P10" s="23"/>
    </row>
    <row r="11" customFormat="false" ht="43.5" hidden="false" customHeight="true" outlineLevel="0" collapsed="false">
      <c r="A11" s="19" t="n">
        <v>10</v>
      </c>
      <c r="B11" s="19" t="s">
        <v>141</v>
      </c>
      <c r="C11" s="5" t="s">
        <v>63</v>
      </c>
      <c r="D11" s="5" t="s">
        <v>142</v>
      </c>
      <c r="E11" s="5" t="s">
        <v>143</v>
      </c>
      <c r="F11" s="5" t="s">
        <v>144</v>
      </c>
      <c r="G11" s="4" t="s">
        <v>145</v>
      </c>
      <c r="H11" s="5" t="s">
        <v>146</v>
      </c>
      <c r="I11" s="20" t="s">
        <v>98</v>
      </c>
      <c r="J11" s="20" t="s">
        <v>76</v>
      </c>
      <c r="K11" s="5" t="s">
        <v>147</v>
      </c>
      <c r="L11" s="21"/>
      <c r="M11" s="22"/>
      <c r="N11" s="22"/>
      <c r="O11" s="22"/>
      <c r="P11" s="23"/>
    </row>
    <row r="12" customFormat="false" ht="43.5" hidden="false" customHeight="true" outlineLevel="0" collapsed="false">
      <c r="A12" s="19" t="n">
        <v>11</v>
      </c>
      <c r="B12" s="19" t="s">
        <v>148</v>
      </c>
      <c r="C12" s="5" t="s">
        <v>63</v>
      </c>
      <c r="D12" s="5" t="s">
        <v>142</v>
      </c>
      <c r="E12" s="5" t="s">
        <v>149</v>
      </c>
      <c r="F12" s="5" t="s">
        <v>150</v>
      </c>
      <c r="G12" s="4" t="s">
        <v>151</v>
      </c>
      <c r="H12" s="5" t="s">
        <v>152</v>
      </c>
      <c r="I12" s="20" t="s">
        <v>98</v>
      </c>
      <c r="J12" s="20" t="s">
        <v>76</v>
      </c>
      <c r="K12" s="5" t="s">
        <v>147</v>
      </c>
      <c r="L12" s="21"/>
      <c r="M12" s="22"/>
      <c r="N12" s="22"/>
      <c r="O12" s="22"/>
      <c r="P12" s="23"/>
    </row>
    <row r="13" customFormat="false" ht="29.25" hidden="false" customHeight="true" outlineLevel="0" collapsed="false">
      <c r="A13" s="19" t="n">
        <v>12</v>
      </c>
      <c r="B13" s="19" t="s">
        <v>153</v>
      </c>
      <c r="C13" s="5" t="s">
        <v>63</v>
      </c>
      <c r="D13" s="5" t="s">
        <v>154</v>
      </c>
      <c r="E13" s="5" t="s">
        <v>155</v>
      </c>
      <c r="F13" s="5" t="s">
        <v>103</v>
      </c>
      <c r="G13" s="4" t="s">
        <v>156</v>
      </c>
      <c r="H13" s="4" t="s">
        <v>157</v>
      </c>
      <c r="I13" s="20" t="s">
        <v>98</v>
      </c>
      <c r="J13" s="20" t="s">
        <v>76</v>
      </c>
      <c r="K13" s="5" t="s">
        <v>136</v>
      </c>
      <c r="L13" s="21"/>
      <c r="M13" s="22"/>
      <c r="N13" s="22"/>
      <c r="O13" s="22"/>
      <c r="P13" s="23"/>
    </row>
    <row r="14" customFormat="false" ht="29.25" hidden="false" customHeight="true" outlineLevel="0" collapsed="false">
      <c r="A14" s="19" t="n">
        <v>13</v>
      </c>
      <c r="B14" s="19" t="s">
        <v>158</v>
      </c>
      <c r="C14" s="5" t="s">
        <v>63</v>
      </c>
      <c r="D14" s="5" t="s">
        <v>159</v>
      </c>
      <c r="E14" s="5" t="s">
        <v>160</v>
      </c>
      <c r="F14" s="5" t="s">
        <v>103</v>
      </c>
      <c r="G14" s="4" t="s">
        <v>161</v>
      </c>
      <c r="H14" s="5" t="s">
        <v>162</v>
      </c>
      <c r="I14" s="20" t="s">
        <v>98</v>
      </c>
      <c r="J14" s="20" t="s">
        <v>77</v>
      </c>
      <c r="K14" s="5" t="s">
        <v>163</v>
      </c>
      <c r="L14" s="21"/>
      <c r="M14" s="22"/>
      <c r="N14" s="22"/>
      <c r="O14" s="22"/>
      <c r="P14" s="23"/>
    </row>
    <row r="15" customFormat="false" ht="43.5" hidden="false" customHeight="true" outlineLevel="0" collapsed="false">
      <c r="A15" s="19" t="n">
        <v>14</v>
      </c>
      <c r="B15" s="19" t="s">
        <v>164</v>
      </c>
      <c r="C15" s="5" t="s">
        <v>63</v>
      </c>
      <c r="D15" s="5" t="s">
        <v>159</v>
      </c>
      <c r="E15" s="5" t="s">
        <v>165</v>
      </c>
      <c r="F15" s="5" t="s">
        <v>103</v>
      </c>
      <c r="G15" s="4" t="s">
        <v>166</v>
      </c>
      <c r="H15" s="5" t="s">
        <v>167</v>
      </c>
      <c r="I15" s="20" t="s">
        <v>98</v>
      </c>
      <c r="J15" s="20" t="s">
        <v>77</v>
      </c>
      <c r="K15" s="5" t="s">
        <v>168</v>
      </c>
      <c r="L15" s="21"/>
      <c r="M15" s="22"/>
      <c r="N15" s="22"/>
      <c r="O15" s="22"/>
      <c r="P15" s="23"/>
    </row>
    <row r="16" customFormat="false" ht="43.5" hidden="false" customHeight="true" outlineLevel="0" collapsed="false">
      <c r="A16" s="19" t="n">
        <v>15</v>
      </c>
      <c r="B16" s="19" t="s">
        <v>169</v>
      </c>
      <c r="C16" s="5" t="s">
        <v>63</v>
      </c>
      <c r="D16" s="5" t="s">
        <v>170</v>
      </c>
      <c r="E16" s="5" t="s">
        <v>171</v>
      </c>
      <c r="F16" s="5" t="s">
        <v>172</v>
      </c>
      <c r="G16" s="4" t="s">
        <v>173</v>
      </c>
      <c r="H16" s="4" t="s">
        <v>174</v>
      </c>
      <c r="I16" s="20" t="s">
        <v>98</v>
      </c>
      <c r="J16" s="20" t="s">
        <v>76</v>
      </c>
      <c r="K16" s="5" t="s">
        <v>106</v>
      </c>
      <c r="L16" s="21"/>
      <c r="M16" s="22"/>
      <c r="N16" s="22"/>
      <c r="O16" s="22"/>
      <c r="P16" s="23"/>
    </row>
    <row r="17" customFormat="false" ht="29.25" hidden="false" customHeight="true" outlineLevel="0" collapsed="false">
      <c r="A17" s="19" t="n">
        <v>16</v>
      </c>
      <c r="B17" s="19" t="s">
        <v>175</v>
      </c>
      <c r="C17" s="5" t="s">
        <v>63</v>
      </c>
      <c r="D17" s="5" t="s">
        <v>176</v>
      </c>
      <c r="E17" s="5" t="s">
        <v>177</v>
      </c>
      <c r="F17" s="4" t="s">
        <v>178</v>
      </c>
      <c r="G17" s="4" t="s">
        <v>179</v>
      </c>
      <c r="H17" s="5" t="s">
        <v>180</v>
      </c>
      <c r="I17" s="20" t="s">
        <v>98</v>
      </c>
      <c r="J17" s="20" t="s">
        <v>77</v>
      </c>
      <c r="K17" s="5" t="s">
        <v>181</v>
      </c>
      <c r="L17" s="21"/>
      <c r="M17" s="22"/>
      <c r="N17" s="22"/>
      <c r="O17" s="22"/>
      <c r="P17" s="23"/>
    </row>
    <row r="18" customFormat="false" ht="15" hidden="false" customHeight="true" outlineLevel="0" collapsed="false">
      <c r="A18" s="19" t="n">
        <v>17</v>
      </c>
      <c r="B18" s="19" t="s">
        <v>182</v>
      </c>
      <c r="C18" s="5" t="s">
        <v>63</v>
      </c>
      <c r="D18" s="5" t="s">
        <v>183</v>
      </c>
      <c r="E18" s="5" t="s">
        <v>184</v>
      </c>
      <c r="F18" s="5" t="s">
        <v>103</v>
      </c>
      <c r="G18" s="4" t="s">
        <v>185</v>
      </c>
      <c r="H18" s="5" t="s">
        <v>186</v>
      </c>
      <c r="I18" s="20" t="s">
        <v>98</v>
      </c>
      <c r="J18" s="20" t="s">
        <v>77</v>
      </c>
      <c r="K18" s="5" t="s">
        <v>187</v>
      </c>
      <c r="L18" s="21"/>
      <c r="M18" s="22"/>
      <c r="N18" s="22"/>
      <c r="O18" s="22"/>
      <c r="P18" s="23"/>
    </row>
    <row r="19" customFormat="false" ht="29.25" hidden="false" customHeight="true" outlineLevel="0" collapsed="false">
      <c r="A19" s="19" t="n">
        <v>18</v>
      </c>
      <c r="B19" s="19" t="s">
        <v>188</v>
      </c>
      <c r="C19" s="5" t="s">
        <v>63</v>
      </c>
      <c r="D19" s="5" t="s">
        <v>183</v>
      </c>
      <c r="E19" s="5" t="s">
        <v>189</v>
      </c>
      <c r="F19" s="5" t="s">
        <v>190</v>
      </c>
      <c r="G19" s="4" t="s">
        <v>191</v>
      </c>
      <c r="H19" s="5" t="s">
        <v>192</v>
      </c>
      <c r="I19" s="20" t="s">
        <v>98</v>
      </c>
      <c r="J19" s="20" t="s">
        <v>77</v>
      </c>
      <c r="K19" s="5" t="s">
        <v>181</v>
      </c>
      <c r="L19" s="21"/>
      <c r="M19" s="22"/>
      <c r="N19" s="22"/>
      <c r="O19" s="22"/>
      <c r="P19" s="23"/>
    </row>
    <row r="20" customFormat="false" ht="43.5" hidden="false" customHeight="true" outlineLevel="0" collapsed="false">
      <c r="A20" s="19" t="n">
        <v>19</v>
      </c>
      <c r="B20" s="19" t="s">
        <v>193</v>
      </c>
      <c r="C20" s="5" t="s">
        <v>63</v>
      </c>
      <c r="D20" s="5" t="s">
        <v>183</v>
      </c>
      <c r="E20" s="5" t="s">
        <v>194</v>
      </c>
      <c r="F20" s="5" t="s">
        <v>195</v>
      </c>
      <c r="G20" s="4" t="s">
        <v>196</v>
      </c>
      <c r="H20" s="5" t="s">
        <v>197</v>
      </c>
      <c r="I20" s="20" t="s">
        <v>98</v>
      </c>
      <c r="J20" s="20" t="s">
        <v>76</v>
      </c>
      <c r="K20" s="5" t="s">
        <v>198</v>
      </c>
      <c r="L20" s="21"/>
      <c r="M20" s="22"/>
      <c r="N20" s="22"/>
      <c r="O20" s="22"/>
      <c r="P20" s="23"/>
    </row>
    <row r="21" customFormat="false" ht="43.5" hidden="false" customHeight="true" outlineLevel="0" collapsed="false">
      <c r="A21" s="19" t="n">
        <v>20</v>
      </c>
      <c r="B21" s="19" t="s">
        <v>199</v>
      </c>
      <c r="C21" s="5" t="s">
        <v>63</v>
      </c>
      <c r="D21" s="5" t="s">
        <v>200</v>
      </c>
      <c r="E21" s="5" t="s">
        <v>201</v>
      </c>
      <c r="F21" s="5" t="s">
        <v>103</v>
      </c>
      <c r="G21" s="4" t="s">
        <v>202</v>
      </c>
      <c r="H21" s="4" t="s">
        <v>203</v>
      </c>
      <c r="I21" s="20" t="s">
        <v>98</v>
      </c>
      <c r="J21" s="20" t="s">
        <v>76</v>
      </c>
      <c r="K21" s="5" t="s">
        <v>163</v>
      </c>
      <c r="L21" s="21"/>
      <c r="M21" s="22"/>
      <c r="N21" s="22"/>
      <c r="O21" s="22"/>
      <c r="P21" s="23"/>
    </row>
    <row r="22" customFormat="false" ht="29.25" hidden="false" customHeight="true" outlineLevel="0" collapsed="false">
      <c r="A22" s="19" t="n">
        <v>21</v>
      </c>
      <c r="B22" s="19" t="s">
        <v>204</v>
      </c>
      <c r="C22" s="5" t="s">
        <v>63</v>
      </c>
      <c r="D22" s="5" t="s">
        <v>205</v>
      </c>
      <c r="E22" s="4" t="s">
        <v>206</v>
      </c>
      <c r="F22" s="5" t="s">
        <v>103</v>
      </c>
      <c r="G22" s="4" t="s">
        <v>207</v>
      </c>
      <c r="H22" s="5" t="s">
        <v>208</v>
      </c>
      <c r="I22" s="20" t="s">
        <v>98</v>
      </c>
      <c r="J22" s="20" t="s">
        <v>77</v>
      </c>
      <c r="K22" s="5" t="s">
        <v>209</v>
      </c>
      <c r="L22" s="21"/>
      <c r="M22" s="22"/>
      <c r="N22" s="22"/>
      <c r="O22" s="22"/>
      <c r="P22" s="23"/>
    </row>
    <row r="23" customFormat="false" ht="43.5" hidden="false" customHeight="true" outlineLevel="0" collapsed="false">
      <c r="A23" s="19" t="n">
        <v>22</v>
      </c>
      <c r="B23" s="19" t="s">
        <v>210</v>
      </c>
      <c r="C23" s="5" t="s">
        <v>63</v>
      </c>
      <c r="D23" s="5" t="s">
        <v>211</v>
      </c>
      <c r="E23" s="5" t="s">
        <v>212</v>
      </c>
      <c r="F23" s="5" t="s">
        <v>103</v>
      </c>
      <c r="G23" s="4" t="s">
        <v>213</v>
      </c>
      <c r="H23" s="5" t="s">
        <v>214</v>
      </c>
      <c r="I23" s="20" t="s">
        <v>98</v>
      </c>
      <c r="J23" s="20" t="s">
        <v>77</v>
      </c>
      <c r="K23" s="5" t="s">
        <v>215</v>
      </c>
      <c r="L23" s="21"/>
      <c r="M23" s="22"/>
      <c r="N23" s="22"/>
      <c r="O23" s="22"/>
      <c r="P23" s="23"/>
    </row>
    <row r="24" customFormat="false" ht="43.5" hidden="false" customHeight="true" outlineLevel="0" collapsed="false">
      <c r="A24" s="19" t="n">
        <v>23</v>
      </c>
      <c r="B24" s="19" t="s">
        <v>216</v>
      </c>
      <c r="C24" s="5" t="s">
        <v>63</v>
      </c>
      <c r="D24" s="5" t="s">
        <v>217</v>
      </c>
      <c r="E24" s="5" t="s">
        <v>218</v>
      </c>
      <c r="F24" s="5" t="s">
        <v>103</v>
      </c>
      <c r="G24" s="4" t="s">
        <v>219</v>
      </c>
      <c r="H24" s="5" t="s">
        <v>220</v>
      </c>
      <c r="I24" s="20" t="s">
        <v>98</v>
      </c>
      <c r="J24" s="20" t="s">
        <v>77</v>
      </c>
      <c r="K24" s="5" t="s">
        <v>221</v>
      </c>
      <c r="L24" s="21"/>
      <c r="M24" s="22"/>
      <c r="N24" s="22"/>
      <c r="O24" s="22"/>
      <c r="P24" s="23"/>
    </row>
    <row r="25" customFormat="false" ht="29.25" hidden="false" customHeight="true" outlineLevel="0" collapsed="false">
      <c r="A25" s="19" t="n">
        <v>24</v>
      </c>
      <c r="B25" s="19" t="s">
        <v>222</v>
      </c>
      <c r="C25" s="5" t="s">
        <v>63</v>
      </c>
      <c r="D25" s="5" t="s">
        <v>223</v>
      </c>
      <c r="E25" s="5" t="s">
        <v>224</v>
      </c>
      <c r="F25" s="5" t="s">
        <v>225</v>
      </c>
      <c r="G25" s="4" t="s">
        <v>226</v>
      </c>
      <c r="H25" s="5" t="s">
        <v>227</v>
      </c>
      <c r="I25" s="20" t="s">
        <v>98</v>
      </c>
      <c r="J25" s="20" t="s">
        <v>77</v>
      </c>
      <c r="K25" s="5" t="s">
        <v>228</v>
      </c>
      <c r="L25" s="21"/>
      <c r="M25" s="22"/>
      <c r="N25" s="22"/>
      <c r="O25" s="22"/>
      <c r="P25" s="23"/>
    </row>
    <row r="26" customFormat="false" ht="29.25" hidden="false" customHeight="true" outlineLevel="0" collapsed="false">
      <c r="A26" s="19" t="n">
        <v>25</v>
      </c>
      <c r="B26" s="19" t="s">
        <v>229</v>
      </c>
      <c r="C26" s="5" t="s">
        <v>64</v>
      </c>
      <c r="D26" s="4" t="s">
        <v>230</v>
      </c>
      <c r="E26" s="5" t="s">
        <v>231</v>
      </c>
      <c r="F26" s="4" t="s">
        <v>232</v>
      </c>
      <c r="G26" s="4" t="s">
        <v>233</v>
      </c>
      <c r="H26" s="5" t="s">
        <v>234</v>
      </c>
      <c r="I26" s="19" t="s">
        <v>98</v>
      </c>
      <c r="J26" s="20" t="s">
        <v>77</v>
      </c>
      <c r="K26" s="5" t="s">
        <v>235</v>
      </c>
      <c r="L26" s="21"/>
      <c r="M26" s="22"/>
      <c r="N26" s="22"/>
      <c r="O26" s="22"/>
      <c r="P26" s="23"/>
    </row>
    <row r="27" customFormat="false" ht="29.25" hidden="false" customHeight="true" outlineLevel="0" collapsed="false">
      <c r="A27" s="19" t="n">
        <v>26</v>
      </c>
      <c r="B27" s="19" t="s">
        <v>236</v>
      </c>
      <c r="C27" s="5" t="s">
        <v>64</v>
      </c>
      <c r="D27" s="4" t="s">
        <v>230</v>
      </c>
      <c r="E27" s="5" t="s">
        <v>237</v>
      </c>
      <c r="F27" s="4" t="s">
        <v>232</v>
      </c>
      <c r="G27" s="4" t="s">
        <v>238</v>
      </c>
      <c r="H27" s="5" t="s">
        <v>239</v>
      </c>
      <c r="I27" s="19" t="s">
        <v>98</v>
      </c>
      <c r="J27" s="20" t="s">
        <v>76</v>
      </c>
      <c r="K27" s="5" t="s">
        <v>235</v>
      </c>
      <c r="L27" s="21"/>
      <c r="M27" s="22"/>
      <c r="N27" s="22"/>
      <c r="O27" s="22"/>
      <c r="P27" s="23"/>
    </row>
    <row r="28" customFormat="false" ht="29.25" hidden="false" customHeight="true" outlineLevel="0" collapsed="false">
      <c r="A28" s="19" t="n">
        <v>27</v>
      </c>
      <c r="B28" s="19" t="s">
        <v>240</v>
      </c>
      <c r="C28" s="5" t="s">
        <v>64</v>
      </c>
      <c r="D28" s="4" t="s">
        <v>230</v>
      </c>
      <c r="E28" s="5" t="s">
        <v>241</v>
      </c>
      <c r="F28" s="4" t="s">
        <v>232</v>
      </c>
      <c r="G28" s="4" t="s">
        <v>242</v>
      </c>
      <c r="H28" s="5" t="s">
        <v>243</v>
      </c>
      <c r="I28" s="19" t="s">
        <v>98</v>
      </c>
      <c r="J28" s="20" t="s">
        <v>77</v>
      </c>
      <c r="K28" s="5" t="s">
        <v>235</v>
      </c>
      <c r="L28" s="21"/>
      <c r="M28" s="22"/>
      <c r="N28" s="22"/>
      <c r="O28" s="22"/>
      <c r="P28" s="23"/>
    </row>
    <row r="29" customFormat="false" ht="29.25" hidden="false" customHeight="true" outlineLevel="0" collapsed="false">
      <c r="A29" s="19" t="n">
        <v>28</v>
      </c>
      <c r="B29" s="19" t="s">
        <v>244</v>
      </c>
      <c r="C29" s="5" t="s">
        <v>64</v>
      </c>
      <c r="D29" s="4" t="s">
        <v>245</v>
      </c>
      <c r="E29" s="5" t="s">
        <v>231</v>
      </c>
      <c r="F29" s="4" t="s">
        <v>246</v>
      </c>
      <c r="G29" s="4" t="s">
        <v>233</v>
      </c>
      <c r="H29" s="5" t="s">
        <v>234</v>
      </c>
      <c r="I29" s="19" t="s">
        <v>98</v>
      </c>
      <c r="J29" s="20" t="s">
        <v>77</v>
      </c>
      <c r="K29" s="5" t="s">
        <v>235</v>
      </c>
      <c r="L29" s="21"/>
      <c r="M29" s="22"/>
      <c r="N29" s="22"/>
      <c r="O29" s="22"/>
      <c r="P29" s="23"/>
    </row>
    <row r="30" customFormat="false" ht="29.25" hidden="false" customHeight="true" outlineLevel="0" collapsed="false">
      <c r="A30" s="19" t="n">
        <v>29</v>
      </c>
      <c r="B30" s="19" t="s">
        <v>247</v>
      </c>
      <c r="C30" s="5" t="s">
        <v>64</v>
      </c>
      <c r="D30" s="4" t="s">
        <v>245</v>
      </c>
      <c r="E30" s="5" t="s">
        <v>237</v>
      </c>
      <c r="F30" s="4" t="s">
        <v>246</v>
      </c>
      <c r="G30" s="4" t="s">
        <v>238</v>
      </c>
      <c r="H30" s="5" t="s">
        <v>239</v>
      </c>
      <c r="I30" s="19" t="s">
        <v>98</v>
      </c>
      <c r="J30" s="20" t="s">
        <v>76</v>
      </c>
      <c r="K30" s="5" t="s">
        <v>235</v>
      </c>
      <c r="L30" s="21"/>
      <c r="M30" s="22"/>
      <c r="N30" s="22"/>
      <c r="O30" s="22"/>
      <c r="P30" s="23"/>
    </row>
    <row r="31" customFormat="false" ht="29.25" hidden="false" customHeight="true" outlineLevel="0" collapsed="false">
      <c r="A31" s="19" t="n">
        <v>30</v>
      </c>
      <c r="B31" s="19" t="s">
        <v>248</v>
      </c>
      <c r="C31" s="5" t="s">
        <v>64</v>
      </c>
      <c r="D31" s="4" t="s">
        <v>245</v>
      </c>
      <c r="E31" s="5" t="s">
        <v>241</v>
      </c>
      <c r="F31" s="4" t="s">
        <v>246</v>
      </c>
      <c r="G31" s="4" t="s">
        <v>242</v>
      </c>
      <c r="H31" s="5" t="s">
        <v>243</v>
      </c>
      <c r="I31" s="19" t="s">
        <v>98</v>
      </c>
      <c r="J31" s="20" t="s">
        <v>77</v>
      </c>
      <c r="K31" s="5" t="s">
        <v>235</v>
      </c>
      <c r="L31" s="21"/>
      <c r="M31" s="22"/>
      <c r="N31" s="22"/>
      <c r="O31" s="22"/>
      <c r="P31" s="23"/>
    </row>
    <row r="32" customFormat="false" ht="29.25" hidden="false" customHeight="true" outlineLevel="0" collapsed="false">
      <c r="A32" s="19" t="n">
        <v>31</v>
      </c>
      <c r="B32" s="19" t="s">
        <v>249</v>
      </c>
      <c r="C32" s="5" t="s">
        <v>64</v>
      </c>
      <c r="D32" s="5" t="s">
        <v>250</v>
      </c>
      <c r="E32" s="4" t="s">
        <v>251</v>
      </c>
      <c r="F32" s="4" t="s">
        <v>252</v>
      </c>
      <c r="G32" s="4" t="s">
        <v>253</v>
      </c>
      <c r="H32" s="5" t="s">
        <v>254</v>
      </c>
      <c r="I32" s="19" t="s">
        <v>98</v>
      </c>
      <c r="J32" s="20" t="s">
        <v>78</v>
      </c>
      <c r="K32" s="5" t="s">
        <v>235</v>
      </c>
      <c r="L32" s="21"/>
      <c r="M32" s="22"/>
      <c r="N32" s="22"/>
      <c r="O32" s="22"/>
      <c r="P32" s="23"/>
    </row>
    <row r="33" customFormat="false" ht="29.25" hidden="false" customHeight="true" outlineLevel="0" collapsed="false">
      <c r="A33" s="19" t="n">
        <v>32</v>
      </c>
      <c r="B33" s="19" t="s">
        <v>255</v>
      </c>
      <c r="C33" s="5" t="s">
        <v>64</v>
      </c>
      <c r="D33" s="5" t="s">
        <v>256</v>
      </c>
      <c r="E33" s="4" t="s">
        <v>257</v>
      </c>
      <c r="F33" s="4" t="s">
        <v>258</v>
      </c>
      <c r="G33" s="4" t="s">
        <v>259</v>
      </c>
      <c r="H33" s="5" t="s">
        <v>260</v>
      </c>
      <c r="I33" s="19" t="s">
        <v>98</v>
      </c>
      <c r="J33" s="20" t="s">
        <v>77</v>
      </c>
      <c r="K33" s="5" t="s">
        <v>235</v>
      </c>
      <c r="L33" s="21"/>
      <c r="M33" s="22"/>
      <c r="N33" s="22"/>
      <c r="O33" s="22"/>
      <c r="P33" s="23"/>
    </row>
    <row r="34" customFormat="false" ht="29.25" hidden="false" customHeight="true" outlineLevel="0" collapsed="false">
      <c r="A34" s="19" t="n">
        <v>33</v>
      </c>
      <c r="B34" s="19" t="s">
        <v>261</v>
      </c>
      <c r="C34" s="5" t="s">
        <v>65</v>
      </c>
      <c r="D34" s="5" t="s">
        <v>262</v>
      </c>
      <c r="E34" s="5" t="s">
        <v>263</v>
      </c>
      <c r="F34" s="5" t="s">
        <v>264</v>
      </c>
      <c r="G34" s="4" t="s">
        <v>265</v>
      </c>
      <c r="H34" s="4" t="s">
        <v>266</v>
      </c>
      <c r="I34" s="20" t="s">
        <v>267</v>
      </c>
      <c r="J34" s="20" t="s">
        <v>76</v>
      </c>
      <c r="K34" s="5" t="s">
        <v>163</v>
      </c>
      <c r="L34" s="21"/>
      <c r="M34" s="22"/>
      <c r="N34" s="22"/>
      <c r="O34" s="22"/>
      <c r="P34" s="23"/>
    </row>
    <row r="35" customFormat="false" ht="29.25" hidden="false" customHeight="true" outlineLevel="0" collapsed="false">
      <c r="A35" s="19" t="n">
        <v>34</v>
      </c>
      <c r="B35" s="19" t="s">
        <v>268</v>
      </c>
      <c r="C35" s="5" t="s">
        <v>65</v>
      </c>
      <c r="D35" s="5" t="s">
        <v>262</v>
      </c>
      <c r="E35" s="5" t="s">
        <v>269</v>
      </c>
      <c r="F35" s="5" t="s">
        <v>270</v>
      </c>
      <c r="G35" s="4" t="s">
        <v>271</v>
      </c>
      <c r="H35" s="4" t="s">
        <v>272</v>
      </c>
      <c r="I35" s="20" t="s">
        <v>267</v>
      </c>
      <c r="J35" s="20" t="s">
        <v>76</v>
      </c>
      <c r="K35" s="5" t="s">
        <v>163</v>
      </c>
      <c r="L35" s="21"/>
      <c r="M35" s="22"/>
      <c r="N35" s="22"/>
      <c r="O35" s="22"/>
      <c r="P35" s="23"/>
    </row>
    <row r="36" customFormat="false" ht="29.25" hidden="false" customHeight="true" outlineLevel="0" collapsed="false">
      <c r="A36" s="19" t="n">
        <v>35</v>
      </c>
      <c r="B36" s="19" t="s">
        <v>273</v>
      </c>
      <c r="C36" s="5" t="s">
        <v>65</v>
      </c>
      <c r="D36" s="5" t="s">
        <v>262</v>
      </c>
      <c r="E36" s="5" t="s">
        <v>274</v>
      </c>
      <c r="F36" s="5" t="s">
        <v>270</v>
      </c>
      <c r="G36" s="4" t="s">
        <v>275</v>
      </c>
      <c r="H36" s="5" t="s">
        <v>276</v>
      </c>
      <c r="I36" s="20" t="s">
        <v>267</v>
      </c>
      <c r="J36" s="20" t="s">
        <v>77</v>
      </c>
      <c r="K36" s="5" t="s">
        <v>163</v>
      </c>
      <c r="L36" s="21"/>
      <c r="M36" s="22"/>
      <c r="N36" s="22"/>
      <c r="O36" s="22"/>
      <c r="P36" s="23"/>
    </row>
    <row r="37" customFormat="false" ht="43.5" hidden="false" customHeight="true" outlineLevel="0" collapsed="false">
      <c r="A37" s="19" t="n">
        <v>36</v>
      </c>
      <c r="B37" s="19" t="s">
        <v>277</v>
      </c>
      <c r="C37" s="5" t="s">
        <v>65</v>
      </c>
      <c r="D37" s="5" t="s">
        <v>262</v>
      </c>
      <c r="E37" s="5" t="s">
        <v>278</v>
      </c>
      <c r="F37" s="5" t="s">
        <v>279</v>
      </c>
      <c r="G37" s="4" t="s">
        <v>280</v>
      </c>
      <c r="H37" s="4" t="s">
        <v>281</v>
      </c>
      <c r="I37" s="20" t="s">
        <v>98</v>
      </c>
      <c r="J37" s="20" t="s">
        <v>76</v>
      </c>
      <c r="K37" s="5" t="s">
        <v>163</v>
      </c>
      <c r="L37" s="21"/>
      <c r="M37" s="22"/>
      <c r="N37" s="22"/>
      <c r="O37" s="22"/>
      <c r="P37" s="23"/>
    </row>
    <row r="38" customFormat="false" ht="43.5" hidden="false" customHeight="true" outlineLevel="0" collapsed="false">
      <c r="A38" s="19" t="n">
        <v>37</v>
      </c>
      <c r="B38" s="19" t="s">
        <v>282</v>
      </c>
      <c r="C38" s="5" t="s">
        <v>65</v>
      </c>
      <c r="D38" s="5" t="s">
        <v>283</v>
      </c>
      <c r="E38" s="5" t="s">
        <v>284</v>
      </c>
      <c r="F38" s="5" t="s">
        <v>285</v>
      </c>
      <c r="G38" s="4" t="s">
        <v>286</v>
      </c>
      <c r="H38" s="5" t="s">
        <v>287</v>
      </c>
      <c r="I38" s="20" t="s">
        <v>267</v>
      </c>
      <c r="J38" s="20" t="s">
        <v>76</v>
      </c>
      <c r="K38" s="5" t="s">
        <v>163</v>
      </c>
      <c r="L38" s="21"/>
      <c r="M38" s="22"/>
      <c r="N38" s="22"/>
      <c r="O38" s="22"/>
      <c r="P38" s="23"/>
    </row>
    <row r="39" customFormat="false" ht="43.5" hidden="false" customHeight="true" outlineLevel="0" collapsed="false">
      <c r="A39" s="19" t="n">
        <v>38</v>
      </c>
      <c r="B39" s="19" t="s">
        <v>288</v>
      </c>
      <c r="C39" s="5" t="s">
        <v>65</v>
      </c>
      <c r="D39" s="5" t="s">
        <v>283</v>
      </c>
      <c r="E39" s="4" t="s">
        <v>289</v>
      </c>
      <c r="F39" s="5" t="s">
        <v>270</v>
      </c>
      <c r="G39" s="4" t="s">
        <v>290</v>
      </c>
      <c r="H39" s="4" t="s">
        <v>291</v>
      </c>
      <c r="I39" s="20" t="s">
        <v>267</v>
      </c>
      <c r="J39" s="20" t="s">
        <v>77</v>
      </c>
      <c r="K39" s="5" t="s">
        <v>221</v>
      </c>
      <c r="L39" s="21"/>
      <c r="M39" s="22"/>
      <c r="N39" s="22"/>
      <c r="O39" s="22"/>
      <c r="P39" s="23"/>
    </row>
    <row r="40" customFormat="false" ht="43.5" hidden="false" customHeight="true" outlineLevel="0" collapsed="false">
      <c r="A40" s="19" t="n">
        <v>39</v>
      </c>
      <c r="B40" s="19" t="s">
        <v>292</v>
      </c>
      <c r="C40" s="5" t="s">
        <v>65</v>
      </c>
      <c r="D40" s="5" t="s">
        <v>283</v>
      </c>
      <c r="E40" s="4" t="s">
        <v>293</v>
      </c>
      <c r="F40" s="5" t="s">
        <v>270</v>
      </c>
      <c r="G40" s="4" t="s">
        <v>294</v>
      </c>
      <c r="H40" s="4" t="s">
        <v>295</v>
      </c>
      <c r="I40" s="20" t="s">
        <v>267</v>
      </c>
      <c r="J40" s="20" t="s">
        <v>77</v>
      </c>
      <c r="K40" s="5" t="s">
        <v>296</v>
      </c>
      <c r="L40" s="21"/>
      <c r="M40" s="22"/>
      <c r="N40" s="22"/>
      <c r="O40" s="22"/>
      <c r="P40" s="23"/>
    </row>
    <row r="41" customFormat="false" ht="43.5" hidden="false" customHeight="true" outlineLevel="0" collapsed="false">
      <c r="A41" s="19" t="n">
        <v>40</v>
      </c>
      <c r="B41" s="19" t="s">
        <v>297</v>
      </c>
      <c r="C41" s="5" t="s">
        <v>65</v>
      </c>
      <c r="D41" s="5" t="s">
        <v>283</v>
      </c>
      <c r="E41" s="4" t="s">
        <v>298</v>
      </c>
      <c r="F41" s="5" t="s">
        <v>299</v>
      </c>
      <c r="G41" s="4" t="s">
        <v>300</v>
      </c>
      <c r="H41" s="5" t="s">
        <v>301</v>
      </c>
      <c r="I41" s="20" t="s">
        <v>267</v>
      </c>
      <c r="J41" s="20" t="s">
        <v>78</v>
      </c>
      <c r="K41" s="5" t="s">
        <v>302</v>
      </c>
      <c r="L41" s="21"/>
      <c r="M41" s="22"/>
      <c r="N41" s="22"/>
      <c r="O41" s="22"/>
      <c r="P41" s="23"/>
    </row>
    <row r="42" customFormat="false" ht="43.5" hidden="false" customHeight="true" outlineLevel="0" collapsed="false">
      <c r="A42" s="19" t="n">
        <v>41</v>
      </c>
      <c r="B42" s="19" t="s">
        <v>303</v>
      </c>
      <c r="C42" s="5" t="s">
        <v>65</v>
      </c>
      <c r="D42" s="5" t="s">
        <v>283</v>
      </c>
      <c r="E42" s="5" t="s">
        <v>304</v>
      </c>
      <c r="F42" s="5" t="s">
        <v>305</v>
      </c>
      <c r="G42" s="4" t="s">
        <v>306</v>
      </c>
      <c r="H42" s="4" t="s">
        <v>307</v>
      </c>
      <c r="I42" s="20" t="s">
        <v>98</v>
      </c>
      <c r="J42" s="20" t="s">
        <v>77</v>
      </c>
      <c r="K42" s="5" t="s">
        <v>163</v>
      </c>
      <c r="L42" s="21"/>
      <c r="M42" s="22"/>
      <c r="N42" s="22"/>
      <c r="O42" s="22"/>
      <c r="P42" s="23"/>
    </row>
    <row r="43" customFormat="false" ht="41.25" hidden="false" customHeight="true" outlineLevel="0" collapsed="false">
      <c r="A43" s="19" t="n">
        <v>42</v>
      </c>
      <c r="B43" s="19" t="s">
        <v>308</v>
      </c>
      <c r="C43" s="5" t="s">
        <v>65</v>
      </c>
      <c r="D43" s="5" t="s">
        <v>309</v>
      </c>
      <c r="E43" s="5" t="s">
        <v>310</v>
      </c>
      <c r="F43" s="5" t="s">
        <v>270</v>
      </c>
      <c r="G43" s="4" t="s">
        <v>311</v>
      </c>
      <c r="H43" s="5" t="s">
        <v>312</v>
      </c>
      <c r="I43" s="20" t="s">
        <v>267</v>
      </c>
      <c r="J43" s="20" t="s">
        <v>77</v>
      </c>
      <c r="K43" s="5" t="s">
        <v>163</v>
      </c>
      <c r="L43" s="21"/>
      <c r="M43" s="22"/>
      <c r="N43" s="22"/>
      <c r="O43" s="22"/>
      <c r="P43" s="23"/>
    </row>
    <row r="44" customFormat="false" ht="41.25" hidden="false" customHeight="true" outlineLevel="0" collapsed="false">
      <c r="A44" s="19" t="n">
        <v>43</v>
      </c>
      <c r="B44" s="19" t="s">
        <v>313</v>
      </c>
      <c r="C44" s="5" t="s">
        <v>65</v>
      </c>
      <c r="D44" s="5" t="s">
        <v>283</v>
      </c>
      <c r="E44" s="4" t="s">
        <v>314</v>
      </c>
      <c r="F44" s="5" t="s">
        <v>270</v>
      </c>
      <c r="G44" s="4" t="s">
        <v>315</v>
      </c>
      <c r="H44" s="5" t="s">
        <v>316</v>
      </c>
      <c r="I44" s="20" t="s">
        <v>267</v>
      </c>
      <c r="J44" s="20" t="s">
        <v>77</v>
      </c>
      <c r="K44" s="5" t="s">
        <v>317</v>
      </c>
      <c r="L44" s="21"/>
      <c r="M44" s="22"/>
      <c r="N44" s="22"/>
      <c r="O44" s="22"/>
      <c r="P44" s="23"/>
    </row>
    <row r="45" customFormat="false" ht="41.25" hidden="false" customHeight="true" outlineLevel="0" collapsed="false">
      <c r="A45" s="19" t="n">
        <v>44</v>
      </c>
      <c r="B45" s="19" t="s">
        <v>318</v>
      </c>
      <c r="C45" s="5" t="s">
        <v>66</v>
      </c>
      <c r="D45" s="4" t="s">
        <v>319</v>
      </c>
      <c r="E45" s="5" t="s">
        <v>320</v>
      </c>
      <c r="F45" s="5" t="s">
        <v>321</v>
      </c>
      <c r="G45" s="4" t="s">
        <v>322</v>
      </c>
      <c r="H45" s="5" t="s">
        <v>323</v>
      </c>
      <c r="I45" s="20" t="s">
        <v>267</v>
      </c>
      <c r="J45" s="20" t="s">
        <v>76</v>
      </c>
      <c r="K45" s="5" t="s">
        <v>324</v>
      </c>
      <c r="L45" s="21"/>
      <c r="M45" s="22"/>
      <c r="N45" s="22"/>
      <c r="O45" s="22"/>
      <c r="P45" s="23"/>
    </row>
    <row r="46" customFormat="false" ht="43.5" hidden="false" customHeight="true" outlineLevel="0" collapsed="false">
      <c r="A46" s="19" t="n">
        <v>45</v>
      </c>
      <c r="B46" s="19" t="s">
        <v>325</v>
      </c>
      <c r="C46" s="5" t="s">
        <v>66</v>
      </c>
      <c r="D46" s="4" t="s">
        <v>319</v>
      </c>
      <c r="E46" s="5" t="s">
        <v>326</v>
      </c>
      <c r="F46" s="5" t="s">
        <v>270</v>
      </c>
      <c r="G46" s="4" t="s">
        <v>327</v>
      </c>
      <c r="H46" s="5" t="s">
        <v>328</v>
      </c>
      <c r="I46" s="20" t="s">
        <v>267</v>
      </c>
      <c r="J46" s="20" t="s">
        <v>76</v>
      </c>
      <c r="K46" s="5" t="s">
        <v>324</v>
      </c>
      <c r="L46" s="21"/>
      <c r="M46" s="22"/>
      <c r="N46" s="22"/>
      <c r="O46" s="22"/>
      <c r="P46" s="23"/>
    </row>
    <row r="47" customFormat="false" ht="29.25" hidden="false" customHeight="true" outlineLevel="0" collapsed="false">
      <c r="A47" s="19" t="n">
        <v>46</v>
      </c>
      <c r="B47" s="19" t="s">
        <v>329</v>
      </c>
      <c r="C47" s="5" t="s">
        <v>66</v>
      </c>
      <c r="D47" s="4" t="s">
        <v>330</v>
      </c>
      <c r="E47" s="5" t="s">
        <v>331</v>
      </c>
      <c r="F47" s="5" t="s">
        <v>332</v>
      </c>
      <c r="G47" s="4" t="s">
        <v>333</v>
      </c>
      <c r="H47" s="5" t="s">
        <v>334</v>
      </c>
      <c r="I47" s="20" t="s">
        <v>267</v>
      </c>
      <c r="J47" s="20" t="s">
        <v>76</v>
      </c>
      <c r="K47" s="5" t="s">
        <v>296</v>
      </c>
      <c r="L47" s="21"/>
      <c r="M47" s="22"/>
      <c r="N47" s="22"/>
      <c r="O47" s="22"/>
      <c r="P47" s="23"/>
    </row>
    <row r="48" customFormat="false" ht="29.25" hidden="false" customHeight="true" outlineLevel="0" collapsed="false">
      <c r="A48" s="19" t="n">
        <v>47</v>
      </c>
      <c r="B48" s="19" t="s">
        <v>335</v>
      </c>
      <c r="C48" s="5" t="s">
        <v>66</v>
      </c>
      <c r="D48" s="5" t="s">
        <v>336</v>
      </c>
      <c r="E48" s="5" t="s">
        <v>337</v>
      </c>
      <c r="F48" s="5" t="s">
        <v>270</v>
      </c>
      <c r="G48" s="4" t="s">
        <v>338</v>
      </c>
      <c r="H48" s="5" t="s">
        <v>339</v>
      </c>
      <c r="I48" s="20" t="s">
        <v>267</v>
      </c>
      <c r="J48" s="20" t="s">
        <v>76</v>
      </c>
      <c r="K48" s="5" t="s">
        <v>221</v>
      </c>
      <c r="L48" s="21"/>
      <c r="M48" s="22"/>
      <c r="N48" s="22"/>
      <c r="O48" s="22"/>
      <c r="P48" s="23"/>
    </row>
    <row r="49" customFormat="false" ht="29.25" hidden="false" customHeight="true" outlineLevel="0" collapsed="false">
      <c r="A49" s="19" t="n">
        <v>48</v>
      </c>
      <c r="B49" s="19" t="s">
        <v>340</v>
      </c>
      <c r="C49" s="5" t="s">
        <v>66</v>
      </c>
      <c r="D49" s="5" t="s">
        <v>341</v>
      </c>
      <c r="E49" s="4" t="s">
        <v>342</v>
      </c>
      <c r="F49" s="4" t="s">
        <v>343</v>
      </c>
      <c r="G49" s="4" t="s">
        <v>344</v>
      </c>
      <c r="H49" s="5" t="s">
        <v>345</v>
      </c>
      <c r="I49" s="20" t="s">
        <v>98</v>
      </c>
      <c r="J49" s="20" t="s">
        <v>77</v>
      </c>
      <c r="K49" s="5" t="s">
        <v>346</v>
      </c>
      <c r="L49" s="21"/>
      <c r="M49" s="22"/>
      <c r="N49" s="22"/>
      <c r="O49" s="22"/>
      <c r="P49" s="23"/>
    </row>
    <row r="50" customFormat="false" ht="29.25" hidden="false" customHeight="true" outlineLevel="0" collapsed="false">
      <c r="A50" s="19" t="n">
        <v>49</v>
      </c>
      <c r="B50" s="19" t="s">
        <v>347</v>
      </c>
      <c r="C50" s="5" t="s">
        <v>66</v>
      </c>
      <c r="D50" s="5" t="s">
        <v>341</v>
      </c>
      <c r="E50" s="5" t="s">
        <v>348</v>
      </c>
      <c r="F50" s="5" t="s">
        <v>349</v>
      </c>
      <c r="G50" s="4" t="s">
        <v>306</v>
      </c>
      <c r="H50" s="5" t="s">
        <v>350</v>
      </c>
      <c r="I50" s="20" t="s">
        <v>98</v>
      </c>
      <c r="J50" s="20" t="s">
        <v>77</v>
      </c>
      <c r="K50" s="5" t="s">
        <v>346</v>
      </c>
      <c r="L50" s="21"/>
      <c r="M50" s="22"/>
      <c r="N50" s="22"/>
      <c r="O50" s="22"/>
      <c r="P50" s="23"/>
    </row>
    <row r="51" customFormat="false" ht="29.25" hidden="false" customHeight="true" outlineLevel="0" collapsed="false">
      <c r="A51" s="19" t="n">
        <v>50</v>
      </c>
      <c r="B51" s="19" t="s">
        <v>351</v>
      </c>
      <c r="C51" s="5" t="s">
        <v>66</v>
      </c>
      <c r="D51" s="5" t="s">
        <v>341</v>
      </c>
      <c r="E51" s="4" t="s">
        <v>352</v>
      </c>
      <c r="F51" s="4" t="s">
        <v>353</v>
      </c>
      <c r="G51" s="4" t="s">
        <v>306</v>
      </c>
      <c r="H51" s="5" t="s">
        <v>354</v>
      </c>
      <c r="I51" s="20" t="s">
        <v>98</v>
      </c>
      <c r="J51" s="20" t="s">
        <v>77</v>
      </c>
      <c r="K51" s="5" t="s">
        <v>346</v>
      </c>
      <c r="L51" s="21"/>
      <c r="M51" s="22"/>
      <c r="N51" s="22"/>
      <c r="O51" s="22"/>
      <c r="P51" s="23"/>
    </row>
    <row r="52" customFormat="false" ht="29.25" hidden="false" customHeight="true" outlineLevel="0" collapsed="false">
      <c r="A52" s="19" t="n">
        <v>51</v>
      </c>
      <c r="B52" s="19" t="s">
        <v>355</v>
      </c>
      <c r="C52" s="5" t="s">
        <v>66</v>
      </c>
      <c r="D52" s="5" t="s">
        <v>341</v>
      </c>
      <c r="E52" s="5" t="s">
        <v>356</v>
      </c>
      <c r="F52" s="5" t="s">
        <v>357</v>
      </c>
      <c r="G52" s="4" t="s">
        <v>306</v>
      </c>
      <c r="H52" s="5" t="s">
        <v>358</v>
      </c>
      <c r="I52" s="20" t="s">
        <v>98</v>
      </c>
      <c r="J52" s="20" t="s">
        <v>77</v>
      </c>
      <c r="K52" s="5" t="s">
        <v>346</v>
      </c>
      <c r="L52" s="21"/>
      <c r="M52" s="22"/>
      <c r="N52" s="22"/>
      <c r="O52" s="22"/>
      <c r="P52" s="23"/>
    </row>
    <row r="53" customFormat="false" ht="29.25" hidden="false" customHeight="true" outlineLevel="0" collapsed="false">
      <c r="A53" s="19" t="n">
        <v>52</v>
      </c>
      <c r="B53" s="19" t="s">
        <v>359</v>
      </c>
      <c r="C53" s="5" t="s">
        <v>66</v>
      </c>
      <c r="D53" s="5" t="s">
        <v>341</v>
      </c>
      <c r="E53" s="4" t="s">
        <v>360</v>
      </c>
      <c r="F53" s="4" t="s">
        <v>361</v>
      </c>
      <c r="G53" s="4" t="s">
        <v>362</v>
      </c>
      <c r="H53" s="5" t="s">
        <v>363</v>
      </c>
      <c r="I53" s="20" t="s">
        <v>98</v>
      </c>
      <c r="J53" s="20" t="s">
        <v>78</v>
      </c>
      <c r="K53" s="5" t="s">
        <v>346</v>
      </c>
      <c r="L53" s="21"/>
      <c r="M53" s="22"/>
      <c r="N53" s="22"/>
      <c r="O53" s="22"/>
      <c r="P53" s="23"/>
    </row>
    <row r="54" customFormat="false" ht="15" hidden="false" customHeight="true" outlineLevel="0" collapsed="false">
      <c r="A54" s="19" t="n">
        <v>53</v>
      </c>
      <c r="B54" s="19" t="s">
        <v>364</v>
      </c>
      <c r="C54" s="5" t="s">
        <v>66</v>
      </c>
      <c r="D54" s="5" t="s">
        <v>365</v>
      </c>
      <c r="E54" s="5" t="s">
        <v>366</v>
      </c>
      <c r="F54" s="5" t="s">
        <v>270</v>
      </c>
      <c r="G54" s="4" t="s">
        <v>367</v>
      </c>
      <c r="H54" s="5" t="s">
        <v>368</v>
      </c>
      <c r="I54" s="20" t="s">
        <v>267</v>
      </c>
      <c r="J54" s="20" t="s">
        <v>78</v>
      </c>
      <c r="K54" s="5" t="s">
        <v>221</v>
      </c>
      <c r="L54" s="21"/>
      <c r="M54" s="22"/>
      <c r="N54" s="22"/>
      <c r="O54" s="22"/>
      <c r="P54" s="23"/>
    </row>
    <row r="55" customFormat="false" ht="15" hidden="false" customHeight="true" outlineLevel="0" collapsed="false">
      <c r="A55" s="19" t="n">
        <v>54</v>
      </c>
      <c r="B55" s="19" t="s">
        <v>369</v>
      </c>
      <c r="C55" s="5" t="s">
        <v>67</v>
      </c>
      <c r="D55" s="5" t="s">
        <v>370</v>
      </c>
      <c r="E55" s="4" t="s">
        <v>371</v>
      </c>
      <c r="F55" s="5" t="s">
        <v>270</v>
      </c>
      <c r="G55" s="4" t="s">
        <v>372</v>
      </c>
      <c r="H55" s="5" t="s">
        <v>373</v>
      </c>
      <c r="I55" s="20" t="s">
        <v>267</v>
      </c>
      <c r="J55" s="20" t="s">
        <v>76</v>
      </c>
      <c r="K55" s="5" t="s">
        <v>374</v>
      </c>
      <c r="L55" s="21"/>
      <c r="M55" s="22"/>
      <c r="N55" s="22"/>
      <c r="O55" s="22"/>
      <c r="P55" s="23"/>
    </row>
    <row r="56" customFormat="false" ht="29.25" hidden="false" customHeight="true" outlineLevel="0" collapsed="false">
      <c r="A56" s="19" t="n">
        <v>55</v>
      </c>
      <c r="B56" s="19" t="s">
        <v>375</v>
      </c>
      <c r="C56" s="5" t="s">
        <v>67</v>
      </c>
      <c r="D56" s="5" t="s">
        <v>370</v>
      </c>
      <c r="E56" s="4" t="s">
        <v>376</v>
      </c>
      <c r="F56" s="5" t="s">
        <v>270</v>
      </c>
      <c r="G56" s="4" t="s">
        <v>377</v>
      </c>
      <c r="H56" s="4" t="s">
        <v>378</v>
      </c>
      <c r="I56" s="20" t="s">
        <v>267</v>
      </c>
      <c r="J56" s="20" t="s">
        <v>77</v>
      </c>
      <c r="K56" s="5" t="s">
        <v>374</v>
      </c>
      <c r="L56" s="21"/>
      <c r="M56" s="22"/>
      <c r="N56" s="22"/>
      <c r="O56" s="22"/>
      <c r="P56" s="23"/>
    </row>
    <row r="57" customFormat="false" ht="27" hidden="false" customHeight="true" outlineLevel="0" collapsed="false">
      <c r="A57" s="19" t="n">
        <v>56</v>
      </c>
      <c r="B57" s="19" t="s">
        <v>379</v>
      </c>
      <c r="C57" s="5" t="s">
        <v>67</v>
      </c>
      <c r="D57" s="5" t="s">
        <v>380</v>
      </c>
      <c r="E57" s="5" t="s">
        <v>381</v>
      </c>
      <c r="F57" s="5" t="s">
        <v>270</v>
      </c>
      <c r="G57" s="4" t="s">
        <v>382</v>
      </c>
      <c r="H57" s="4" t="s">
        <v>383</v>
      </c>
      <c r="I57" s="20" t="s">
        <v>267</v>
      </c>
      <c r="J57" s="20" t="s">
        <v>76</v>
      </c>
      <c r="K57" s="5" t="s">
        <v>374</v>
      </c>
      <c r="L57" s="21"/>
      <c r="M57" s="22"/>
      <c r="N57" s="22"/>
      <c r="O57" s="22"/>
      <c r="P57" s="23"/>
    </row>
    <row r="58" customFormat="false" ht="27" hidden="false" customHeight="true" outlineLevel="0" collapsed="false">
      <c r="A58" s="19" t="n">
        <v>57</v>
      </c>
      <c r="B58" s="19" t="s">
        <v>384</v>
      </c>
      <c r="C58" s="5" t="s">
        <v>67</v>
      </c>
      <c r="D58" s="5" t="s">
        <v>380</v>
      </c>
      <c r="E58" s="4" t="s">
        <v>385</v>
      </c>
      <c r="F58" s="5" t="s">
        <v>386</v>
      </c>
      <c r="G58" s="4" t="s">
        <v>387</v>
      </c>
      <c r="H58" s="5" t="s">
        <v>388</v>
      </c>
      <c r="I58" s="20" t="s">
        <v>267</v>
      </c>
      <c r="J58" s="20" t="s">
        <v>76</v>
      </c>
      <c r="K58" s="5" t="s">
        <v>374</v>
      </c>
      <c r="L58" s="21"/>
      <c r="M58" s="22"/>
      <c r="N58" s="22"/>
      <c r="O58" s="22"/>
      <c r="P58" s="23"/>
    </row>
    <row r="59" customFormat="false" ht="29.25" hidden="false" customHeight="true" outlineLevel="0" collapsed="false">
      <c r="A59" s="19" t="n">
        <v>58</v>
      </c>
      <c r="B59" s="19" t="s">
        <v>389</v>
      </c>
      <c r="C59" s="5" t="s">
        <v>67</v>
      </c>
      <c r="D59" s="5" t="s">
        <v>380</v>
      </c>
      <c r="E59" s="4" t="s">
        <v>390</v>
      </c>
      <c r="F59" s="5" t="s">
        <v>270</v>
      </c>
      <c r="G59" s="4" t="s">
        <v>391</v>
      </c>
      <c r="H59" s="4" t="s">
        <v>392</v>
      </c>
      <c r="I59" s="20" t="s">
        <v>267</v>
      </c>
      <c r="J59" s="20" t="s">
        <v>77</v>
      </c>
      <c r="K59" s="5" t="s">
        <v>393</v>
      </c>
      <c r="L59" s="21"/>
      <c r="M59" s="22"/>
      <c r="N59" s="22"/>
      <c r="O59" s="22"/>
      <c r="P59" s="23"/>
    </row>
    <row r="60" customFormat="false" ht="15" hidden="false" customHeight="true" outlineLevel="0" collapsed="false">
      <c r="A60" s="19" t="n">
        <v>59</v>
      </c>
      <c r="B60" s="19" t="s">
        <v>394</v>
      </c>
      <c r="C60" s="5" t="s">
        <v>67</v>
      </c>
      <c r="D60" s="5" t="s">
        <v>395</v>
      </c>
      <c r="E60" s="5" t="s">
        <v>396</v>
      </c>
      <c r="F60" s="5" t="s">
        <v>270</v>
      </c>
      <c r="G60" s="4" t="s">
        <v>397</v>
      </c>
      <c r="H60" s="4" t="s">
        <v>398</v>
      </c>
      <c r="I60" s="20" t="s">
        <v>267</v>
      </c>
      <c r="J60" s="20" t="s">
        <v>76</v>
      </c>
      <c r="K60" s="5" t="s">
        <v>374</v>
      </c>
      <c r="L60" s="21"/>
      <c r="M60" s="22"/>
      <c r="N60" s="22"/>
      <c r="O60" s="22"/>
      <c r="P60" s="23"/>
    </row>
    <row r="61" customFormat="false" ht="29.25" hidden="false" customHeight="true" outlineLevel="0" collapsed="false">
      <c r="A61" s="19" t="n">
        <v>60</v>
      </c>
      <c r="B61" s="19" t="s">
        <v>399</v>
      </c>
      <c r="C61" s="5" t="s">
        <v>67</v>
      </c>
      <c r="D61" s="5" t="s">
        <v>400</v>
      </c>
      <c r="E61" s="5" t="s">
        <v>401</v>
      </c>
      <c r="F61" s="5" t="s">
        <v>402</v>
      </c>
      <c r="G61" s="4" t="s">
        <v>403</v>
      </c>
      <c r="H61" s="5" t="s">
        <v>404</v>
      </c>
      <c r="I61" s="20" t="s">
        <v>267</v>
      </c>
      <c r="J61" s="20" t="s">
        <v>76</v>
      </c>
      <c r="K61" s="5" t="s">
        <v>374</v>
      </c>
      <c r="L61" s="21"/>
      <c r="M61" s="22"/>
      <c r="N61" s="22"/>
      <c r="O61" s="22"/>
      <c r="P61" s="23"/>
    </row>
    <row r="62" customFormat="false" ht="29.25" hidden="false" customHeight="true" outlineLevel="0" collapsed="false">
      <c r="A62" s="19" t="n">
        <v>61</v>
      </c>
      <c r="B62" s="19" t="s">
        <v>405</v>
      </c>
      <c r="C62" s="5" t="s">
        <v>67</v>
      </c>
      <c r="D62" s="5" t="s">
        <v>400</v>
      </c>
      <c r="E62" s="5" t="s">
        <v>406</v>
      </c>
      <c r="F62" s="4" t="s">
        <v>407</v>
      </c>
      <c r="G62" s="4" t="s">
        <v>408</v>
      </c>
      <c r="H62" s="5" t="s">
        <v>409</v>
      </c>
      <c r="I62" s="20" t="s">
        <v>98</v>
      </c>
      <c r="J62" s="20" t="s">
        <v>76</v>
      </c>
      <c r="K62" s="5" t="s">
        <v>410</v>
      </c>
      <c r="L62" s="21"/>
      <c r="M62" s="22"/>
      <c r="N62" s="22"/>
      <c r="O62" s="22"/>
      <c r="P62" s="23"/>
    </row>
    <row r="63" customFormat="false" ht="29.25" hidden="false" customHeight="true" outlineLevel="0" collapsed="false">
      <c r="A63" s="19" t="n">
        <v>62</v>
      </c>
      <c r="B63" s="19" t="s">
        <v>411</v>
      </c>
      <c r="C63" s="5" t="s">
        <v>67</v>
      </c>
      <c r="D63" s="5" t="s">
        <v>412</v>
      </c>
      <c r="E63" s="4" t="s">
        <v>413</v>
      </c>
      <c r="F63" s="5" t="s">
        <v>270</v>
      </c>
      <c r="G63" s="4" t="s">
        <v>414</v>
      </c>
      <c r="H63" s="5" t="s">
        <v>415</v>
      </c>
      <c r="I63" s="20" t="s">
        <v>267</v>
      </c>
      <c r="J63" s="20" t="s">
        <v>77</v>
      </c>
      <c r="K63" s="5" t="s">
        <v>374</v>
      </c>
      <c r="L63" s="21"/>
      <c r="M63" s="22"/>
      <c r="N63" s="22"/>
      <c r="O63" s="22"/>
      <c r="P63" s="23"/>
    </row>
    <row r="64" customFormat="false" ht="15" hidden="false" customHeight="true" outlineLevel="0" collapsed="false">
      <c r="A64" s="19" t="n">
        <v>63</v>
      </c>
      <c r="B64" s="19" t="s">
        <v>416</v>
      </c>
      <c r="C64" s="5" t="s">
        <v>67</v>
      </c>
      <c r="D64" s="5" t="s">
        <v>417</v>
      </c>
      <c r="E64" s="4" t="s">
        <v>418</v>
      </c>
      <c r="F64" s="5" t="s">
        <v>270</v>
      </c>
      <c r="G64" s="4" t="s">
        <v>419</v>
      </c>
      <c r="H64" s="5" t="s">
        <v>420</v>
      </c>
      <c r="I64" s="20" t="s">
        <v>267</v>
      </c>
      <c r="J64" s="20" t="s">
        <v>76</v>
      </c>
      <c r="K64" s="5" t="s">
        <v>374</v>
      </c>
      <c r="L64" s="21"/>
      <c r="M64" s="22"/>
      <c r="N64" s="22"/>
      <c r="O64" s="22"/>
      <c r="P64" s="23"/>
    </row>
    <row r="65" customFormat="false" ht="29.25" hidden="false" customHeight="true" outlineLevel="0" collapsed="false">
      <c r="A65" s="19" t="n">
        <v>64</v>
      </c>
      <c r="B65" s="19" t="s">
        <v>421</v>
      </c>
      <c r="C65" s="5" t="s">
        <v>67</v>
      </c>
      <c r="D65" s="5" t="s">
        <v>422</v>
      </c>
      <c r="E65" s="5" t="s">
        <v>423</v>
      </c>
      <c r="F65" s="5" t="s">
        <v>424</v>
      </c>
      <c r="G65" s="4" t="s">
        <v>425</v>
      </c>
      <c r="H65" s="4" t="s">
        <v>426</v>
      </c>
      <c r="I65" s="20" t="s">
        <v>267</v>
      </c>
      <c r="J65" s="20" t="s">
        <v>76</v>
      </c>
      <c r="K65" s="5" t="s">
        <v>374</v>
      </c>
      <c r="L65" s="21"/>
      <c r="M65" s="22"/>
      <c r="N65" s="22"/>
      <c r="O65" s="22"/>
      <c r="P65" s="23"/>
    </row>
    <row r="66" customFormat="false" ht="29.25" hidden="false" customHeight="true" outlineLevel="0" collapsed="false">
      <c r="A66" s="19" t="n">
        <v>65</v>
      </c>
      <c r="B66" s="19" t="s">
        <v>427</v>
      </c>
      <c r="C66" s="5" t="s">
        <v>67</v>
      </c>
      <c r="D66" s="5" t="s">
        <v>428</v>
      </c>
      <c r="E66" s="4" t="s">
        <v>429</v>
      </c>
      <c r="F66" s="5" t="s">
        <v>270</v>
      </c>
      <c r="G66" s="4" t="s">
        <v>430</v>
      </c>
      <c r="H66" s="5" t="s">
        <v>431</v>
      </c>
      <c r="I66" s="20" t="s">
        <v>267</v>
      </c>
      <c r="J66" s="20" t="s">
        <v>76</v>
      </c>
      <c r="K66" s="5" t="s">
        <v>374</v>
      </c>
      <c r="L66" s="21"/>
      <c r="M66" s="22"/>
      <c r="N66" s="22"/>
      <c r="O66" s="22"/>
      <c r="P66" s="23"/>
    </row>
    <row r="67" customFormat="false" ht="29.25" hidden="false" customHeight="true" outlineLevel="0" collapsed="false">
      <c r="A67" s="19" t="n">
        <v>66</v>
      </c>
      <c r="B67" s="19" t="s">
        <v>432</v>
      </c>
      <c r="C67" s="5" t="s">
        <v>67</v>
      </c>
      <c r="D67" s="5" t="s">
        <v>428</v>
      </c>
      <c r="E67" s="4" t="s">
        <v>433</v>
      </c>
      <c r="F67" s="4" t="s">
        <v>434</v>
      </c>
      <c r="G67" s="4" t="s">
        <v>435</v>
      </c>
      <c r="H67" s="5" t="s">
        <v>436</v>
      </c>
      <c r="I67" s="19" t="s">
        <v>98</v>
      </c>
      <c r="J67" s="20" t="s">
        <v>76</v>
      </c>
      <c r="K67" s="5" t="s">
        <v>374</v>
      </c>
      <c r="L67" s="21"/>
      <c r="M67" s="22"/>
      <c r="N67" s="22"/>
      <c r="O67" s="22"/>
      <c r="P67" s="23"/>
    </row>
    <row r="68" customFormat="false" ht="29.25" hidden="false" customHeight="true" outlineLevel="0" collapsed="false">
      <c r="A68" s="19" t="n">
        <v>67</v>
      </c>
      <c r="B68" s="19" t="s">
        <v>437</v>
      </c>
      <c r="C68" s="5" t="s">
        <v>67</v>
      </c>
      <c r="D68" s="5" t="s">
        <v>428</v>
      </c>
      <c r="E68" s="5" t="s">
        <v>438</v>
      </c>
      <c r="F68" s="4" t="s">
        <v>439</v>
      </c>
      <c r="G68" s="4" t="s">
        <v>440</v>
      </c>
      <c r="H68" s="4" t="s">
        <v>441</v>
      </c>
      <c r="I68" s="20" t="s">
        <v>267</v>
      </c>
      <c r="J68" s="20" t="s">
        <v>77</v>
      </c>
      <c r="K68" s="5" t="s">
        <v>374</v>
      </c>
      <c r="L68" s="21"/>
      <c r="M68" s="22"/>
      <c r="N68" s="22"/>
      <c r="O68" s="22"/>
      <c r="P68" s="23"/>
    </row>
    <row r="69" customFormat="false" ht="29.25" hidden="false" customHeight="true" outlineLevel="0" collapsed="false">
      <c r="A69" s="19" t="n">
        <v>68</v>
      </c>
      <c r="B69" s="19" t="s">
        <v>442</v>
      </c>
      <c r="C69" s="5" t="s">
        <v>67</v>
      </c>
      <c r="D69" s="4" t="s">
        <v>443</v>
      </c>
      <c r="E69" s="5" t="s">
        <v>444</v>
      </c>
      <c r="F69" s="5" t="s">
        <v>270</v>
      </c>
      <c r="G69" s="4" t="s">
        <v>445</v>
      </c>
      <c r="H69" s="5" t="s">
        <v>446</v>
      </c>
      <c r="I69" s="20" t="s">
        <v>98</v>
      </c>
      <c r="J69" s="20" t="s">
        <v>76</v>
      </c>
      <c r="K69" s="5" t="s">
        <v>374</v>
      </c>
      <c r="L69" s="21"/>
      <c r="M69" s="22"/>
      <c r="N69" s="22"/>
      <c r="O69" s="22"/>
      <c r="P69" s="23"/>
    </row>
    <row r="70" customFormat="false" ht="29.25" hidden="false" customHeight="true" outlineLevel="0" collapsed="false">
      <c r="A70" s="19" t="n">
        <v>69</v>
      </c>
      <c r="B70" s="19" t="s">
        <v>447</v>
      </c>
      <c r="C70" s="5" t="s">
        <v>67</v>
      </c>
      <c r="D70" s="4" t="s">
        <v>443</v>
      </c>
      <c r="E70" s="5" t="s">
        <v>448</v>
      </c>
      <c r="F70" s="5" t="s">
        <v>270</v>
      </c>
      <c r="G70" s="4" t="s">
        <v>449</v>
      </c>
      <c r="H70" s="5" t="s">
        <v>450</v>
      </c>
      <c r="I70" s="20" t="s">
        <v>98</v>
      </c>
      <c r="J70" s="20" t="s">
        <v>76</v>
      </c>
      <c r="K70" s="5" t="s">
        <v>374</v>
      </c>
      <c r="L70" s="21"/>
      <c r="M70" s="22"/>
      <c r="N70" s="22"/>
      <c r="O70" s="22"/>
      <c r="P70" s="23"/>
    </row>
    <row r="71" customFormat="false" ht="29.25" hidden="false" customHeight="true" outlineLevel="0" collapsed="false">
      <c r="A71" s="19" t="n">
        <v>70</v>
      </c>
      <c r="B71" s="19" t="s">
        <v>451</v>
      </c>
      <c r="C71" s="5" t="s">
        <v>67</v>
      </c>
      <c r="D71" s="4" t="s">
        <v>443</v>
      </c>
      <c r="E71" s="5" t="s">
        <v>452</v>
      </c>
      <c r="F71" s="5" t="s">
        <v>270</v>
      </c>
      <c r="G71" s="4" t="s">
        <v>453</v>
      </c>
      <c r="H71" s="5" t="s">
        <v>454</v>
      </c>
      <c r="I71" s="20" t="s">
        <v>267</v>
      </c>
      <c r="J71" s="20" t="s">
        <v>77</v>
      </c>
      <c r="K71" s="5" t="s">
        <v>163</v>
      </c>
      <c r="L71" s="21"/>
      <c r="M71" s="22"/>
      <c r="N71" s="22"/>
      <c r="O71" s="22"/>
      <c r="P71" s="23"/>
    </row>
    <row r="72" customFormat="false" ht="15" hidden="false" customHeight="true" outlineLevel="0" collapsed="false">
      <c r="A72" s="19" t="n">
        <v>71</v>
      </c>
      <c r="B72" s="19" t="s">
        <v>455</v>
      </c>
      <c r="C72" s="5" t="s">
        <v>67</v>
      </c>
      <c r="D72" s="5" t="s">
        <v>417</v>
      </c>
      <c r="E72" s="5" t="s">
        <v>456</v>
      </c>
      <c r="F72" s="4" t="s">
        <v>457</v>
      </c>
      <c r="G72" s="4" t="s">
        <v>458</v>
      </c>
      <c r="H72" s="4" t="s">
        <v>459</v>
      </c>
      <c r="I72" s="20" t="s">
        <v>98</v>
      </c>
      <c r="J72" s="20" t="s">
        <v>76</v>
      </c>
      <c r="K72" s="5" t="s">
        <v>374</v>
      </c>
      <c r="L72" s="21"/>
      <c r="M72" s="22"/>
      <c r="N72" s="22"/>
      <c r="O72" s="22"/>
      <c r="P72" s="23"/>
    </row>
    <row r="73" customFormat="false" ht="29.25" hidden="false" customHeight="true" outlineLevel="0" collapsed="false">
      <c r="A73" s="19" t="n">
        <v>72</v>
      </c>
      <c r="B73" s="19" t="s">
        <v>460</v>
      </c>
      <c r="C73" s="5" t="s">
        <v>67</v>
      </c>
      <c r="D73" s="5" t="s">
        <v>461</v>
      </c>
      <c r="E73" s="5" t="s">
        <v>462</v>
      </c>
      <c r="F73" s="5" t="s">
        <v>270</v>
      </c>
      <c r="G73" s="4" t="s">
        <v>463</v>
      </c>
      <c r="H73" s="5" t="s">
        <v>464</v>
      </c>
      <c r="I73" s="20" t="s">
        <v>267</v>
      </c>
      <c r="J73" s="20" t="s">
        <v>76</v>
      </c>
      <c r="K73" s="5" t="s">
        <v>465</v>
      </c>
      <c r="L73" s="21"/>
      <c r="M73" s="22"/>
      <c r="N73" s="22"/>
      <c r="O73" s="22"/>
      <c r="P73" s="23"/>
    </row>
    <row r="74" customFormat="false" ht="15" hidden="false" customHeight="true" outlineLevel="0" collapsed="false">
      <c r="A74" s="19" t="n">
        <v>73</v>
      </c>
      <c r="B74" s="19" t="s">
        <v>466</v>
      </c>
      <c r="C74" s="5" t="s">
        <v>68</v>
      </c>
      <c r="D74" s="5" t="s">
        <v>467</v>
      </c>
      <c r="E74" s="5" t="s">
        <v>468</v>
      </c>
      <c r="F74" s="5" t="s">
        <v>469</v>
      </c>
      <c r="G74" s="4" t="s">
        <v>470</v>
      </c>
      <c r="H74" s="5" t="s">
        <v>471</v>
      </c>
      <c r="I74" s="20" t="s">
        <v>98</v>
      </c>
      <c r="J74" s="20" t="s">
        <v>76</v>
      </c>
      <c r="K74" s="5" t="s">
        <v>472</v>
      </c>
      <c r="L74" s="21"/>
      <c r="M74" s="22"/>
      <c r="N74" s="22"/>
      <c r="O74" s="22"/>
      <c r="P74" s="23"/>
    </row>
    <row r="75" customFormat="false" ht="29.25" hidden="false" customHeight="true" outlineLevel="0" collapsed="false">
      <c r="A75" s="19" t="n">
        <v>74</v>
      </c>
      <c r="B75" s="19" t="s">
        <v>473</v>
      </c>
      <c r="C75" s="5" t="s">
        <v>68</v>
      </c>
      <c r="D75" s="5" t="s">
        <v>467</v>
      </c>
      <c r="E75" s="5" t="s">
        <v>474</v>
      </c>
      <c r="F75" s="5" t="s">
        <v>475</v>
      </c>
      <c r="G75" s="4" t="s">
        <v>476</v>
      </c>
      <c r="H75" s="5" t="s">
        <v>477</v>
      </c>
      <c r="I75" s="20" t="s">
        <v>98</v>
      </c>
      <c r="J75" s="20" t="s">
        <v>76</v>
      </c>
      <c r="K75" s="5" t="s">
        <v>472</v>
      </c>
      <c r="L75" s="21"/>
      <c r="M75" s="22"/>
      <c r="N75" s="22"/>
      <c r="O75" s="22"/>
      <c r="P75" s="23"/>
    </row>
    <row r="76" customFormat="false" ht="27" hidden="false" customHeight="true" outlineLevel="0" collapsed="false">
      <c r="A76" s="19" t="n">
        <v>75</v>
      </c>
      <c r="B76" s="19" t="s">
        <v>478</v>
      </c>
      <c r="C76" s="5" t="s">
        <v>68</v>
      </c>
      <c r="D76" s="5" t="s">
        <v>479</v>
      </c>
      <c r="E76" s="4" t="s">
        <v>480</v>
      </c>
      <c r="F76" s="5" t="s">
        <v>270</v>
      </c>
      <c r="G76" s="4" t="s">
        <v>481</v>
      </c>
      <c r="H76" s="5" t="s">
        <v>482</v>
      </c>
      <c r="I76" s="20" t="s">
        <v>267</v>
      </c>
      <c r="J76" s="20" t="s">
        <v>76</v>
      </c>
      <c r="K76" s="5" t="s">
        <v>472</v>
      </c>
      <c r="L76" s="21"/>
      <c r="M76" s="22"/>
      <c r="N76" s="22"/>
      <c r="O76" s="22"/>
      <c r="P76" s="23"/>
    </row>
    <row r="77" customFormat="false" ht="15" hidden="false" customHeight="true" outlineLevel="0" collapsed="false">
      <c r="A77" s="19" t="n">
        <v>76</v>
      </c>
      <c r="B77" s="19" t="s">
        <v>483</v>
      </c>
      <c r="C77" s="5" t="s">
        <v>68</v>
      </c>
      <c r="D77" s="5" t="s">
        <v>479</v>
      </c>
      <c r="E77" s="5" t="s">
        <v>484</v>
      </c>
      <c r="F77" s="5" t="s">
        <v>485</v>
      </c>
      <c r="G77" s="4" t="s">
        <v>486</v>
      </c>
      <c r="H77" s="5" t="s">
        <v>487</v>
      </c>
      <c r="I77" s="20" t="s">
        <v>267</v>
      </c>
      <c r="J77" s="20" t="s">
        <v>77</v>
      </c>
      <c r="K77" s="5" t="s">
        <v>209</v>
      </c>
      <c r="L77" s="21"/>
      <c r="M77" s="22"/>
      <c r="N77" s="22"/>
      <c r="O77" s="22"/>
      <c r="P77" s="23"/>
    </row>
    <row r="78" customFormat="false" ht="15" hidden="false" customHeight="true" outlineLevel="0" collapsed="false">
      <c r="A78" s="19" t="n">
        <v>77</v>
      </c>
      <c r="B78" s="19" t="s">
        <v>488</v>
      </c>
      <c r="C78" s="5" t="s">
        <v>68</v>
      </c>
      <c r="D78" s="5" t="s">
        <v>479</v>
      </c>
      <c r="E78" s="5" t="s">
        <v>489</v>
      </c>
      <c r="F78" s="5" t="s">
        <v>490</v>
      </c>
      <c r="G78" s="4" t="s">
        <v>491</v>
      </c>
      <c r="H78" s="5" t="s">
        <v>492</v>
      </c>
      <c r="I78" s="20" t="s">
        <v>267</v>
      </c>
      <c r="J78" s="20" t="s">
        <v>77</v>
      </c>
      <c r="K78" s="5" t="s">
        <v>209</v>
      </c>
      <c r="L78" s="21"/>
      <c r="M78" s="22"/>
      <c r="N78" s="22"/>
      <c r="O78" s="22"/>
      <c r="P78" s="23"/>
    </row>
    <row r="79" customFormat="false" ht="29.25" hidden="false" customHeight="true" outlineLevel="0" collapsed="false">
      <c r="A79" s="19" t="n">
        <v>78</v>
      </c>
      <c r="B79" s="19" t="s">
        <v>493</v>
      </c>
      <c r="C79" s="5" t="s">
        <v>68</v>
      </c>
      <c r="D79" s="5" t="s">
        <v>494</v>
      </c>
      <c r="E79" s="5" t="s">
        <v>495</v>
      </c>
      <c r="F79" s="5" t="s">
        <v>496</v>
      </c>
      <c r="G79" s="4" t="s">
        <v>497</v>
      </c>
      <c r="H79" s="5" t="s">
        <v>498</v>
      </c>
      <c r="I79" s="20" t="s">
        <v>267</v>
      </c>
      <c r="J79" s="20" t="s">
        <v>76</v>
      </c>
      <c r="K79" s="5" t="s">
        <v>472</v>
      </c>
      <c r="L79" s="21"/>
      <c r="M79" s="22"/>
      <c r="N79" s="22"/>
      <c r="O79" s="22"/>
      <c r="P79" s="23"/>
    </row>
    <row r="80" customFormat="false" ht="29.25" hidden="false" customHeight="true" outlineLevel="0" collapsed="false">
      <c r="A80" s="19" t="n">
        <v>79</v>
      </c>
      <c r="B80" s="19" t="s">
        <v>499</v>
      </c>
      <c r="C80" s="5" t="s">
        <v>68</v>
      </c>
      <c r="D80" s="5" t="s">
        <v>500</v>
      </c>
      <c r="E80" s="5" t="s">
        <v>501</v>
      </c>
      <c r="F80" s="5" t="s">
        <v>502</v>
      </c>
      <c r="G80" s="4" t="s">
        <v>503</v>
      </c>
      <c r="H80" s="5" t="s">
        <v>504</v>
      </c>
      <c r="I80" s="20" t="s">
        <v>98</v>
      </c>
      <c r="J80" s="20" t="s">
        <v>78</v>
      </c>
      <c r="K80" s="5" t="s">
        <v>472</v>
      </c>
      <c r="L80" s="21"/>
      <c r="M80" s="22"/>
      <c r="N80" s="22"/>
      <c r="O80" s="22"/>
      <c r="P80" s="23"/>
    </row>
    <row r="81" customFormat="false" ht="29.25" hidden="false" customHeight="true" outlineLevel="0" collapsed="false">
      <c r="A81" s="19" t="n">
        <v>80</v>
      </c>
      <c r="B81" s="19" t="s">
        <v>505</v>
      </c>
      <c r="C81" s="5" t="s">
        <v>69</v>
      </c>
      <c r="D81" s="5" t="s">
        <v>506</v>
      </c>
      <c r="E81" s="5" t="s">
        <v>507</v>
      </c>
      <c r="F81" s="5" t="s">
        <v>508</v>
      </c>
      <c r="G81" s="4" t="s">
        <v>509</v>
      </c>
      <c r="H81" s="5" t="s">
        <v>510</v>
      </c>
      <c r="I81" s="20" t="s">
        <v>267</v>
      </c>
      <c r="J81" s="20" t="s">
        <v>76</v>
      </c>
      <c r="K81" s="5" t="s">
        <v>511</v>
      </c>
      <c r="L81" s="21"/>
      <c r="M81" s="22"/>
      <c r="N81" s="22"/>
      <c r="O81" s="22"/>
      <c r="P81" s="23"/>
    </row>
    <row r="82" customFormat="false" ht="29.25" hidden="false" customHeight="true" outlineLevel="0" collapsed="false">
      <c r="A82" s="19" t="n">
        <v>81</v>
      </c>
      <c r="B82" s="19" t="s">
        <v>512</v>
      </c>
      <c r="C82" s="5" t="s">
        <v>69</v>
      </c>
      <c r="D82" s="5" t="s">
        <v>506</v>
      </c>
      <c r="E82" s="5" t="s">
        <v>513</v>
      </c>
      <c r="F82" s="5" t="s">
        <v>270</v>
      </c>
      <c r="G82" s="4" t="s">
        <v>514</v>
      </c>
      <c r="H82" s="5" t="s">
        <v>515</v>
      </c>
      <c r="I82" s="20" t="s">
        <v>267</v>
      </c>
      <c r="J82" s="20" t="s">
        <v>76</v>
      </c>
      <c r="K82" s="5" t="s">
        <v>511</v>
      </c>
      <c r="L82" s="21"/>
      <c r="M82" s="22"/>
      <c r="N82" s="22"/>
      <c r="O82" s="22"/>
      <c r="P82" s="23"/>
    </row>
    <row r="83" customFormat="false" ht="29.25" hidden="false" customHeight="true" outlineLevel="0" collapsed="false">
      <c r="A83" s="19" t="n">
        <v>82</v>
      </c>
      <c r="B83" s="19" t="s">
        <v>516</v>
      </c>
      <c r="C83" s="5" t="s">
        <v>69</v>
      </c>
      <c r="D83" s="5" t="s">
        <v>461</v>
      </c>
      <c r="E83" s="4" t="s">
        <v>517</v>
      </c>
      <c r="F83" s="5" t="s">
        <v>508</v>
      </c>
      <c r="G83" s="4" t="s">
        <v>518</v>
      </c>
      <c r="H83" s="5" t="s">
        <v>519</v>
      </c>
      <c r="I83" s="20" t="s">
        <v>267</v>
      </c>
      <c r="J83" s="20" t="s">
        <v>77</v>
      </c>
      <c r="K83" s="5" t="s">
        <v>465</v>
      </c>
      <c r="L83" s="21"/>
      <c r="M83" s="22"/>
      <c r="N83" s="22"/>
      <c r="O83" s="22"/>
      <c r="P83" s="23"/>
    </row>
    <row r="84" customFormat="false" ht="29.25" hidden="false" customHeight="true" outlineLevel="0" collapsed="false">
      <c r="A84" s="19" t="n">
        <v>83</v>
      </c>
      <c r="B84" s="19" t="s">
        <v>520</v>
      </c>
      <c r="C84" s="5" t="s">
        <v>69</v>
      </c>
      <c r="D84" s="5" t="s">
        <v>461</v>
      </c>
      <c r="E84" s="4" t="s">
        <v>521</v>
      </c>
      <c r="F84" s="5" t="s">
        <v>508</v>
      </c>
      <c r="G84" s="4" t="s">
        <v>522</v>
      </c>
      <c r="H84" s="4" t="s">
        <v>523</v>
      </c>
      <c r="I84" s="20" t="s">
        <v>267</v>
      </c>
      <c r="J84" s="20" t="s">
        <v>77</v>
      </c>
      <c r="K84" s="5" t="s">
        <v>524</v>
      </c>
      <c r="L84" s="21"/>
      <c r="M84" s="22"/>
      <c r="N84" s="22"/>
      <c r="O84" s="22"/>
      <c r="P84" s="23"/>
    </row>
    <row r="85" customFormat="false" ht="29.25" hidden="false" customHeight="true" outlineLevel="0" collapsed="false">
      <c r="A85" s="19" t="n">
        <v>84</v>
      </c>
      <c r="B85" s="19" t="s">
        <v>525</v>
      </c>
      <c r="C85" s="5" t="s">
        <v>69</v>
      </c>
      <c r="D85" s="4" t="s">
        <v>526</v>
      </c>
      <c r="E85" s="4" t="s">
        <v>527</v>
      </c>
      <c r="F85" s="5" t="s">
        <v>508</v>
      </c>
      <c r="G85" s="4" t="s">
        <v>528</v>
      </c>
      <c r="H85" s="5" t="s">
        <v>529</v>
      </c>
      <c r="I85" s="20" t="s">
        <v>267</v>
      </c>
      <c r="J85" s="20" t="s">
        <v>78</v>
      </c>
      <c r="K85" s="5" t="s">
        <v>524</v>
      </c>
      <c r="L85" s="21"/>
      <c r="M85" s="22"/>
      <c r="N85" s="22"/>
      <c r="O85" s="22"/>
      <c r="P85" s="23"/>
    </row>
    <row r="86" customFormat="false" ht="29.25" hidden="false" customHeight="true" outlineLevel="0" collapsed="false">
      <c r="A86" s="19" t="n">
        <v>85</v>
      </c>
      <c r="B86" s="19" t="s">
        <v>530</v>
      </c>
      <c r="C86" s="5" t="s">
        <v>69</v>
      </c>
      <c r="D86" s="5" t="s">
        <v>531</v>
      </c>
      <c r="E86" s="4" t="s">
        <v>532</v>
      </c>
      <c r="F86" s="5" t="s">
        <v>533</v>
      </c>
      <c r="G86" s="4" t="s">
        <v>534</v>
      </c>
      <c r="H86" s="4" t="s">
        <v>535</v>
      </c>
      <c r="I86" s="20" t="s">
        <v>267</v>
      </c>
      <c r="J86" s="20" t="s">
        <v>76</v>
      </c>
      <c r="K86" s="5" t="s">
        <v>536</v>
      </c>
      <c r="L86" s="21"/>
      <c r="M86" s="22"/>
      <c r="N86" s="22"/>
      <c r="O86" s="22"/>
      <c r="P86" s="23"/>
    </row>
    <row r="87" customFormat="false" ht="29.25" hidden="false" customHeight="true" outlineLevel="0" collapsed="false">
      <c r="A87" s="19" t="n">
        <v>86</v>
      </c>
      <c r="B87" s="19" t="s">
        <v>537</v>
      </c>
      <c r="C87" s="5" t="s">
        <v>69</v>
      </c>
      <c r="D87" s="5" t="s">
        <v>531</v>
      </c>
      <c r="E87" s="4" t="s">
        <v>538</v>
      </c>
      <c r="F87" s="5" t="s">
        <v>533</v>
      </c>
      <c r="G87" s="4" t="s">
        <v>539</v>
      </c>
      <c r="H87" s="4" t="s">
        <v>535</v>
      </c>
      <c r="I87" s="20" t="s">
        <v>267</v>
      </c>
      <c r="J87" s="20" t="s">
        <v>77</v>
      </c>
      <c r="K87" s="5" t="s">
        <v>536</v>
      </c>
      <c r="L87" s="21"/>
      <c r="M87" s="22"/>
      <c r="N87" s="22"/>
      <c r="O87" s="22"/>
      <c r="P87" s="23"/>
    </row>
    <row r="88" customFormat="false" ht="29.25" hidden="false" customHeight="true" outlineLevel="0" collapsed="false">
      <c r="A88" s="19" t="n">
        <v>87</v>
      </c>
      <c r="B88" s="19" t="s">
        <v>540</v>
      </c>
      <c r="C88" s="5" t="s">
        <v>69</v>
      </c>
      <c r="D88" s="5" t="s">
        <v>531</v>
      </c>
      <c r="E88" s="4" t="s">
        <v>541</v>
      </c>
      <c r="F88" s="5" t="s">
        <v>533</v>
      </c>
      <c r="G88" s="4" t="s">
        <v>542</v>
      </c>
      <c r="H88" s="4" t="s">
        <v>535</v>
      </c>
      <c r="I88" s="20" t="s">
        <v>267</v>
      </c>
      <c r="J88" s="20" t="s">
        <v>77</v>
      </c>
      <c r="K88" s="5" t="s">
        <v>536</v>
      </c>
      <c r="L88" s="21"/>
      <c r="M88" s="22"/>
      <c r="N88" s="22"/>
      <c r="O88" s="22"/>
      <c r="P88" s="23"/>
    </row>
    <row r="89" customFormat="false" ht="15" hidden="false" customHeight="true" outlineLevel="0" collapsed="false">
      <c r="A89" s="19" t="n">
        <v>88</v>
      </c>
      <c r="B89" s="19" t="s">
        <v>543</v>
      </c>
      <c r="C89" s="5" t="s">
        <v>69</v>
      </c>
      <c r="D89" s="5" t="s">
        <v>531</v>
      </c>
      <c r="E89" s="5" t="s">
        <v>544</v>
      </c>
      <c r="F89" s="5" t="s">
        <v>533</v>
      </c>
      <c r="G89" s="4" t="s">
        <v>545</v>
      </c>
      <c r="H89" s="4" t="s">
        <v>535</v>
      </c>
      <c r="I89" s="20" t="s">
        <v>267</v>
      </c>
      <c r="J89" s="20" t="s">
        <v>77</v>
      </c>
      <c r="K89" s="5" t="s">
        <v>536</v>
      </c>
      <c r="L89" s="21"/>
      <c r="M89" s="22"/>
      <c r="N89" s="22"/>
      <c r="O89" s="22"/>
      <c r="P89" s="23"/>
    </row>
    <row r="90" customFormat="false" ht="29.25" hidden="false" customHeight="true" outlineLevel="0" collapsed="false">
      <c r="A90" s="19" t="n">
        <v>89</v>
      </c>
      <c r="B90" s="19" t="s">
        <v>546</v>
      </c>
      <c r="C90" s="5" t="s">
        <v>69</v>
      </c>
      <c r="D90" s="5" t="s">
        <v>531</v>
      </c>
      <c r="E90" s="4" t="s">
        <v>547</v>
      </c>
      <c r="F90" s="5" t="s">
        <v>533</v>
      </c>
      <c r="G90" s="4" t="s">
        <v>548</v>
      </c>
      <c r="H90" s="4" t="s">
        <v>535</v>
      </c>
      <c r="I90" s="20" t="s">
        <v>267</v>
      </c>
      <c r="J90" s="20" t="s">
        <v>76</v>
      </c>
      <c r="K90" s="5" t="s">
        <v>536</v>
      </c>
      <c r="L90" s="21"/>
      <c r="M90" s="22"/>
      <c r="N90" s="22"/>
      <c r="O90" s="22"/>
      <c r="P90" s="23"/>
    </row>
    <row r="91" customFormat="false" ht="29.25" hidden="false" customHeight="true" outlineLevel="0" collapsed="false">
      <c r="A91" s="19" t="n">
        <v>90</v>
      </c>
      <c r="B91" s="19" t="s">
        <v>549</v>
      </c>
      <c r="C91" s="5" t="s">
        <v>69</v>
      </c>
      <c r="D91" s="5" t="s">
        <v>531</v>
      </c>
      <c r="E91" s="4" t="s">
        <v>550</v>
      </c>
      <c r="F91" s="5" t="s">
        <v>533</v>
      </c>
      <c r="G91" s="4" t="s">
        <v>551</v>
      </c>
      <c r="H91" s="4" t="s">
        <v>535</v>
      </c>
      <c r="I91" s="20" t="s">
        <v>267</v>
      </c>
      <c r="J91" s="20" t="s">
        <v>77</v>
      </c>
      <c r="K91" s="5" t="s">
        <v>536</v>
      </c>
      <c r="L91" s="21"/>
      <c r="M91" s="22"/>
      <c r="N91" s="22"/>
      <c r="O91" s="22"/>
      <c r="P91" s="23"/>
    </row>
    <row r="92" customFormat="false" ht="29.25" hidden="false" customHeight="true" outlineLevel="0" collapsed="false">
      <c r="A92" s="19" t="n">
        <v>91</v>
      </c>
      <c r="B92" s="19" t="s">
        <v>552</v>
      </c>
      <c r="C92" s="5" t="s">
        <v>69</v>
      </c>
      <c r="D92" s="5" t="s">
        <v>531</v>
      </c>
      <c r="E92" s="4" t="s">
        <v>553</v>
      </c>
      <c r="F92" s="5" t="s">
        <v>533</v>
      </c>
      <c r="G92" s="4" t="s">
        <v>551</v>
      </c>
      <c r="H92" s="4" t="s">
        <v>535</v>
      </c>
      <c r="I92" s="20" t="s">
        <v>267</v>
      </c>
      <c r="J92" s="20" t="s">
        <v>77</v>
      </c>
      <c r="K92" s="5" t="s">
        <v>536</v>
      </c>
      <c r="L92" s="21"/>
      <c r="M92" s="22"/>
      <c r="N92" s="22"/>
      <c r="O92" s="22"/>
      <c r="P92" s="23"/>
    </row>
    <row r="93" customFormat="false" ht="15" hidden="false" customHeight="true" outlineLevel="0" collapsed="false">
      <c r="A93" s="19" t="n">
        <v>92</v>
      </c>
      <c r="B93" s="19" t="s">
        <v>554</v>
      </c>
      <c r="C93" s="5" t="s">
        <v>69</v>
      </c>
      <c r="D93" s="5" t="s">
        <v>531</v>
      </c>
      <c r="E93" s="5" t="s">
        <v>555</v>
      </c>
      <c r="F93" s="5" t="s">
        <v>270</v>
      </c>
      <c r="G93" s="4" t="s">
        <v>556</v>
      </c>
      <c r="H93" s="5" t="s">
        <v>557</v>
      </c>
      <c r="I93" s="20" t="s">
        <v>267</v>
      </c>
      <c r="J93" s="20" t="s">
        <v>77</v>
      </c>
      <c r="K93" s="5" t="s">
        <v>465</v>
      </c>
      <c r="L93" s="21"/>
      <c r="M93" s="22"/>
      <c r="N93" s="22"/>
      <c r="O93" s="22"/>
      <c r="P93" s="23"/>
    </row>
    <row r="94" customFormat="false" ht="29.25" hidden="false" customHeight="true" outlineLevel="0" collapsed="false">
      <c r="A94" s="19" t="n">
        <v>93</v>
      </c>
      <c r="B94" s="19" t="s">
        <v>558</v>
      </c>
      <c r="C94" s="5" t="s">
        <v>69</v>
      </c>
      <c r="D94" s="5" t="s">
        <v>559</v>
      </c>
      <c r="E94" s="5" t="s">
        <v>560</v>
      </c>
      <c r="F94" s="5" t="s">
        <v>561</v>
      </c>
      <c r="G94" s="4" t="s">
        <v>562</v>
      </c>
      <c r="H94" s="5" t="s">
        <v>563</v>
      </c>
      <c r="I94" s="20" t="s">
        <v>267</v>
      </c>
      <c r="J94" s="20" t="s">
        <v>77</v>
      </c>
      <c r="K94" s="5" t="s">
        <v>564</v>
      </c>
      <c r="L94" s="21"/>
      <c r="M94" s="22"/>
      <c r="N94" s="22"/>
      <c r="O94" s="22"/>
      <c r="P94" s="23"/>
    </row>
    <row r="95" customFormat="false" ht="29.25" hidden="false" customHeight="true" outlineLevel="0" collapsed="false">
      <c r="A95" s="19" t="n">
        <v>94</v>
      </c>
      <c r="B95" s="19" t="s">
        <v>565</v>
      </c>
      <c r="C95" s="5" t="s">
        <v>69</v>
      </c>
      <c r="D95" s="5" t="s">
        <v>566</v>
      </c>
      <c r="E95" s="4" t="s">
        <v>567</v>
      </c>
      <c r="F95" s="5" t="s">
        <v>270</v>
      </c>
      <c r="G95" s="4" t="s">
        <v>568</v>
      </c>
      <c r="H95" s="5" t="s">
        <v>569</v>
      </c>
      <c r="I95" s="20" t="s">
        <v>267</v>
      </c>
      <c r="J95" s="20" t="s">
        <v>77</v>
      </c>
      <c r="K95" s="5" t="s">
        <v>570</v>
      </c>
      <c r="L95" s="21"/>
      <c r="M95" s="22"/>
      <c r="N95" s="22"/>
      <c r="O95" s="22"/>
      <c r="P95" s="23"/>
    </row>
    <row r="96" customFormat="false" ht="29.25" hidden="false" customHeight="true" outlineLevel="0" collapsed="false">
      <c r="A96" s="19" t="n">
        <v>95</v>
      </c>
      <c r="B96" s="19" t="s">
        <v>571</v>
      </c>
      <c r="C96" s="5" t="s">
        <v>69</v>
      </c>
      <c r="D96" s="5" t="s">
        <v>566</v>
      </c>
      <c r="E96" s="5" t="s">
        <v>572</v>
      </c>
      <c r="F96" s="5" t="s">
        <v>270</v>
      </c>
      <c r="G96" s="4" t="s">
        <v>573</v>
      </c>
      <c r="H96" s="5" t="s">
        <v>574</v>
      </c>
      <c r="I96" s="20" t="s">
        <v>267</v>
      </c>
      <c r="J96" s="20" t="s">
        <v>78</v>
      </c>
      <c r="K96" s="5" t="s">
        <v>163</v>
      </c>
      <c r="L96" s="21"/>
      <c r="M96" s="22"/>
      <c r="N96" s="22"/>
      <c r="O96" s="22"/>
      <c r="P96" s="23"/>
    </row>
    <row r="97" customFormat="false" ht="29.25" hidden="false" customHeight="true" outlineLevel="0" collapsed="false">
      <c r="A97" s="19" t="n">
        <v>96</v>
      </c>
      <c r="B97" s="19" t="s">
        <v>575</v>
      </c>
      <c r="C97" s="5" t="s">
        <v>69</v>
      </c>
      <c r="D97" s="5" t="s">
        <v>576</v>
      </c>
      <c r="E97" s="5" t="s">
        <v>577</v>
      </c>
      <c r="F97" s="5" t="s">
        <v>578</v>
      </c>
      <c r="G97" s="4" t="s">
        <v>579</v>
      </c>
      <c r="H97" s="5" t="s">
        <v>580</v>
      </c>
      <c r="I97" s="20" t="s">
        <v>267</v>
      </c>
      <c r="J97" s="20" t="s">
        <v>77</v>
      </c>
      <c r="K97" s="5" t="s">
        <v>581</v>
      </c>
      <c r="L97" s="21"/>
      <c r="M97" s="22"/>
      <c r="N97" s="22"/>
      <c r="O97" s="22"/>
      <c r="P97" s="23"/>
    </row>
    <row r="98" customFormat="false" ht="15" hidden="false" customHeight="true" outlineLevel="0" collapsed="false">
      <c r="A98" s="19" t="n">
        <v>97</v>
      </c>
      <c r="B98" s="19" t="s">
        <v>582</v>
      </c>
      <c r="C98" s="5" t="s">
        <v>69</v>
      </c>
      <c r="D98" s="5" t="s">
        <v>583</v>
      </c>
      <c r="E98" s="4" t="s">
        <v>584</v>
      </c>
      <c r="F98" s="5" t="s">
        <v>561</v>
      </c>
      <c r="G98" s="4" t="s">
        <v>585</v>
      </c>
      <c r="H98" s="5" t="s">
        <v>586</v>
      </c>
      <c r="I98" s="20" t="s">
        <v>267</v>
      </c>
      <c r="J98" s="20" t="s">
        <v>78</v>
      </c>
      <c r="K98" s="5" t="s">
        <v>587</v>
      </c>
      <c r="L98" s="21"/>
      <c r="M98" s="22"/>
      <c r="N98" s="22"/>
      <c r="O98" s="22"/>
      <c r="P98" s="23"/>
    </row>
    <row r="99" customFormat="false" ht="29.25" hidden="false" customHeight="true" outlineLevel="0" collapsed="false">
      <c r="A99" s="19" t="n">
        <v>98</v>
      </c>
      <c r="B99" s="19" t="s">
        <v>588</v>
      </c>
      <c r="C99" s="5" t="s">
        <v>70</v>
      </c>
      <c r="D99" s="4" t="s">
        <v>589</v>
      </c>
      <c r="E99" s="5" t="s">
        <v>590</v>
      </c>
      <c r="F99" s="5" t="s">
        <v>270</v>
      </c>
      <c r="G99" s="4" t="s">
        <v>591</v>
      </c>
      <c r="H99" s="4" t="s">
        <v>592</v>
      </c>
      <c r="I99" s="20" t="s">
        <v>267</v>
      </c>
      <c r="J99" s="20" t="s">
        <v>76</v>
      </c>
      <c r="K99" s="5" t="s">
        <v>593</v>
      </c>
      <c r="L99" s="21"/>
      <c r="M99" s="22"/>
      <c r="N99" s="22"/>
      <c r="O99" s="22"/>
      <c r="P99" s="23"/>
    </row>
    <row r="100" customFormat="false" ht="15" hidden="false" customHeight="true" outlineLevel="0" collapsed="false">
      <c r="A100" s="19" t="n">
        <v>99</v>
      </c>
      <c r="B100" s="19" t="s">
        <v>594</v>
      </c>
      <c r="C100" s="5" t="s">
        <v>70</v>
      </c>
      <c r="D100" s="4" t="s">
        <v>589</v>
      </c>
      <c r="E100" s="5" t="s">
        <v>595</v>
      </c>
      <c r="F100" s="5" t="s">
        <v>270</v>
      </c>
      <c r="G100" s="4" t="s">
        <v>596</v>
      </c>
      <c r="H100" s="5" t="s">
        <v>597</v>
      </c>
      <c r="I100" s="20" t="s">
        <v>267</v>
      </c>
      <c r="J100" s="20" t="s">
        <v>77</v>
      </c>
      <c r="K100" s="5" t="s">
        <v>593</v>
      </c>
      <c r="L100" s="21"/>
      <c r="M100" s="22"/>
      <c r="N100" s="22"/>
      <c r="O100" s="22"/>
      <c r="P100" s="23"/>
    </row>
    <row r="101" customFormat="false" ht="29.25" hidden="false" customHeight="true" outlineLevel="0" collapsed="false">
      <c r="A101" s="19" t="n">
        <v>100</v>
      </c>
      <c r="B101" s="19" t="s">
        <v>598</v>
      </c>
      <c r="C101" s="5" t="s">
        <v>70</v>
      </c>
      <c r="D101" s="4" t="s">
        <v>589</v>
      </c>
      <c r="E101" s="5" t="s">
        <v>599</v>
      </c>
      <c r="F101" s="5" t="s">
        <v>270</v>
      </c>
      <c r="G101" s="4" t="s">
        <v>600</v>
      </c>
      <c r="H101" s="5" t="s">
        <v>601</v>
      </c>
      <c r="I101" s="20" t="s">
        <v>267</v>
      </c>
      <c r="J101" s="20" t="s">
        <v>76</v>
      </c>
      <c r="K101" s="5" t="s">
        <v>593</v>
      </c>
      <c r="L101" s="21"/>
      <c r="M101" s="22"/>
      <c r="N101" s="22"/>
      <c r="O101" s="22"/>
      <c r="P101" s="23"/>
    </row>
    <row r="102" customFormat="false" ht="29.25" hidden="false" customHeight="true" outlineLevel="0" collapsed="false">
      <c r="A102" s="19" t="n">
        <v>101</v>
      </c>
      <c r="B102" s="19" t="s">
        <v>602</v>
      </c>
      <c r="C102" s="5" t="s">
        <v>70</v>
      </c>
      <c r="D102" s="4" t="s">
        <v>603</v>
      </c>
      <c r="E102" s="4" t="s">
        <v>604</v>
      </c>
      <c r="F102" s="5" t="s">
        <v>270</v>
      </c>
      <c r="G102" s="4" t="s">
        <v>605</v>
      </c>
      <c r="H102" s="5" t="s">
        <v>606</v>
      </c>
      <c r="I102" s="19" t="s">
        <v>98</v>
      </c>
      <c r="J102" s="20" t="s">
        <v>77</v>
      </c>
      <c r="K102" s="5" t="s">
        <v>593</v>
      </c>
      <c r="L102" s="21"/>
      <c r="M102" s="22"/>
      <c r="N102" s="22"/>
      <c r="O102" s="22"/>
      <c r="P102" s="23"/>
    </row>
    <row r="103" customFormat="false" ht="29.25" hidden="false" customHeight="true" outlineLevel="0" collapsed="false">
      <c r="A103" s="19" t="n">
        <v>102</v>
      </c>
      <c r="B103" s="19" t="s">
        <v>607</v>
      </c>
      <c r="C103" s="5" t="s">
        <v>70</v>
      </c>
      <c r="D103" s="4" t="s">
        <v>608</v>
      </c>
      <c r="E103" s="4" t="s">
        <v>609</v>
      </c>
      <c r="F103" s="5" t="s">
        <v>508</v>
      </c>
      <c r="G103" s="4" t="s">
        <v>610</v>
      </c>
      <c r="H103" s="5" t="s">
        <v>611</v>
      </c>
      <c r="I103" s="20" t="s">
        <v>267</v>
      </c>
      <c r="J103" s="20" t="s">
        <v>77</v>
      </c>
      <c r="K103" s="5" t="s">
        <v>593</v>
      </c>
      <c r="L103" s="21"/>
      <c r="M103" s="22"/>
      <c r="N103" s="22"/>
      <c r="O103" s="22"/>
      <c r="P103" s="23"/>
    </row>
    <row r="104" customFormat="false" ht="15" hidden="false" customHeight="true" outlineLevel="0" collapsed="false">
      <c r="A104" s="19" t="n">
        <v>103</v>
      </c>
      <c r="B104" s="19" t="s">
        <v>612</v>
      </c>
      <c r="C104" s="5" t="s">
        <v>70</v>
      </c>
      <c r="D104" s="5" t="s">
        <v>613</v>
      </c>
      <c r="E104" s="4" t="s">
        <v>614</v>
      </c>
      <c r="F104" s="5" t="s">
        <v>615</v>
      </c>
      <c r="G104" s="4" t="s">
        <v>616</v>
      </c>
      <c r="H104" s="5" t="s">
        <v>617</v>
      </c>
      <c r="I104" s="20" t="s">
        <v>267</v>
      </c>
      <c r="J104" s="20" t="s">
        <v>77</v>
      </c>
      <c r="K104" s="5" t="s">
        <v>593</v>
      </c>
      <c r="L104" s="21"/>
      <c r="M104" s="22"/>
      <c r="N104" s="22"/>
      <c r="O104" s="22"/>
      <c r="P104" s="23"/>
    </row>
    <row r="105" customFormat="false" ht="29.25" hidden="false" customHeight="true" outlineLevel="0" collapsed="false">
      <c r="A105" s="19" t="n">
        <v>104</v>
      </c>
      <c r="B105" s="19" t="s">
        <v>618</v>
      </c>
      <c r="C105" s="5" t="s">
        <v>70</v>
      </c>
      <c r="D105" s="5" t="s">
        <v>613</v>
      </c>
      <c r="E105" s="5" t="s">
        <v>619</v>
      </c>
      <c r="F105" s="5" t="s">
        <v>615</v>
      </c>
      <c r="G105" s="4" t="s">
        <v>620</v>
      </c>
      <c r="H105" s="5" t="s">
        <v>621</v>
      </c>
      <c r="I105" s="20" t="s">
        <v>267</v>
      </c>
      <c r="J105" s="20" t="s">
        <v>76</v>
      </c>
      <c r="K105" s="5" t="s">
        <v>593</v>
      </c>
      <c r="L105" s="21"/>
      <c r="M105" s="22"/>
      <c r="N105" s="22"/>
      <c r="O105" s="22"/>
      <c r="P105" s="23"/>
    </row>
    <row r="106" customFormat="false" ht="29.25" hidden="false" customHeight="true" outlineLevel="0" collapsed="false">
      <c r="A106" s="19" t="n">
        <v>105</v>
      </c>
      <c r="B106" s="19" t="s">
        <v>622</v>
      </c>
      <c r="C106" s="5" t="s">
        <v>71</v>
      </c>
      <c r="D106" s="5" t="s">
        <v>623</v>
      </c>
      <c r="E106" s="5" t="s">
        <v>624</v>
      </c>
      <c r="F106" s="5" t="s">
        <v>625</v>
      </c>
      <c r="G106" s="4" t="s">
        <v>626</v>
      </c>
      <c r="H106" s="5" t="s">
        <v>627</v>
      </c>
      <c r="I106" s="20" t="s">
        <v>98</v>
      </c>
      <c r="J106" s="20" t="s">
        <v>76</v>
      </c>
      <c r="K106" s="5" t="s">
        <v>628</v>
      </c>
      <c r="L106" s="21"/>
      <c r="M106" s="22"/>
      <c r="N106" s="22"/>
      <c r="O106" s="22"/>
      <c r="P106" s="23"/>
    </row>
    <row r="107" customFormat="false" ht="29.25" hidden="false" customHeight="true" outlineLevel="0" collapsed="false">
      <c r="A107" s="19" t="n">
        <v>106</v>
      </c>
      <c r="B107" s="19" t="s">
        <v>629</v>
      </c>
      <c r="C107" s="5" t="s">
        <v>71</v>
      </c>
      <c r="D107" s="5" t="s">
        <v>630</v>
      </c>
      <c r="E107" s="5" t="s">
        <v>631</v>
      </c>
      <c r="F107" s="5" t="s">
        <v>632</v>
      </c>
      <c r="G107" s="4" t="s">
        <v>633</v>
      </c>
      <c r="H107" s="5" t="s">
        <v>634</v>
      </c>
      <c r="I107" s="20" t="s">
        <v>98</v>
      </c>
      <c r="J107" s="20" t="s">
        <v>77</v>
      </c>
      <c r="K107" s="5" t="s">
        <v>120</v>
      </c>
      <c r="L107" s="21"/>
      <c r="M107" s="22"/>
      <c r="N107" s="22"/>
      <c r="O107" s="22"/>
      <c r="P107" s="23"/>
    </row>
    <row r="108" customFormat="false" ht="29.25" hidden="false" customHeight="true" outlineLevel="0" collapsed="false">
      <c r="A108" s="19" t="n">
        <v>107</v>
      </c>
      <c r="B108" s="19" t="s">
        <v>635</v>
      </c>
      <c r="C108" s="5" t="s">
        <v>71</v>
      </c>
      <c r="D108" s="5" t="s">
        <v>636</v>
      </c>
      <c r="E108" s="5" t="s">
        <v>637</v>
      </c>
      <c r="F108" s="5" t="s">
        <v>638</v>
      </c>
      <c r="G108" s="4" t="s">
        <v>639</v>
      </c>
      <c r="H108" s="5" t="s">
        <v>640</v>
      </c>
      <c r="I108" s="20" t="s">
        <v>98</v>
      </c>
      <c r="J108" s="20" t="s">
        <v>77</v>
      </c>
      <c r="K108" s="5" t="s">
        <v>641</v>
      </c>
      <c r="L108" s="21"/>
      <c r="M108" s="22"/>
      <c r="N108" s="22"/>
      <c r="O108" s="22"/>
      <c r="P108" s="23"/>
    </row>
    <row r="109" customFormat="false" ht="29.25" hidden="false" customHeight="true" outlineLevel="0" collapsed="false">
      <c r="A109" s="19" t="n">
        <v>108</v>
      </c>
      <c r="B109" s="19" t="s">
        <v>642</v>
      </c>
      <c r="C109" s="5" t="s">
        <v>71</v>
      </c>
      <c r="D109" s="5" t="s">
        <v>643</v>
      </c>
      <c r="E109" s="5" t="s">
        <v>644</v>
      </c>
      <c r="F109" s="5" t="s">
        <v>645</v>
      </c>
      <c r="G109" s="4" t="s">
        <v>646</v>
      </c>
      <c r="H109" s="4" t="s">
        <v>647</v>
      </c>
      <c r="I109" s="20" t="s">
        <v>98</v>
      </c>
      <c r="J109" s="20" t="s">
        <v>77</v>
      </c>
      <c r="K109" s="5" t="s">
        <v>120</v>
      </c>
      <c r="L109" s="21"/>
      <c r="M109" s="22"/>
      <c r="N109" s="22"/>
      <c r="O109" s="22"/>
      <c r="P109" s="23"/>
    </row>
    <row r="110" customFormat="false" ht="29.25" hidden="false" customHeight="true" outlineLevel="0" collapsed="false">
      <c r="A110" s="19" t="n">
        <v>109</v>
      </c>
      <c r="B110" s="19" t="s">
        <v>648</v>
      </c>
      <c r="C110" s="5" t="s">
        <v>71</v>
      </c>
      <c r="D110" s="5" t="s">
        <v>643</v>
      </c>
      <c r="E110" s="5" t="s">
        <v>649</v>
      </c>
      <c r="F110" s="5" t="s">
        <v>645</v>
      </c>
      <c r="G110" s="4" t="s">
        <v>650</v>
      </c>
      <c r="H110" s="5" t="s">
        <v>651</v>
      </c>
      <c r="I110" s="20" t="s">
        <v>98</v>
      </c>
      <c r="J110" s="20" t="s">
        <v>78</v>
      </c>
      <c r="K110" s="5" t="s">
        <v>628</v>
      </c>
      <c r="L110" s="21"/>
      <c r="M110" s="22"/>
      <c r="N110" s="22"/>
      <c r="O110" s="22"/>
      <c r="P110" s="23"/>
    </row>
    <row r="111" customFormat="false" ht="29.25" hidden="false" customHeight="true" outlineLevel="0" collapsed="false">
      <c r="A111" s="19" t="n">
        <v>110</v>
      </c>
      <c r="B111" s="19" t="s">
        <v>652</v>
      </c>
      <c r="C111" s="5" t="s">
        <v>71</v>
      </c>
      <c r="D111" s="5" t="s">
        <v>653</v>
      </c>
      <c r="E111" s="5" t="s">
        <v>654</v>
      </c>
      <c r="F111" s="5" t="s">
        <v>645</v>
      </c>
      <c r="G111" s="4" t="s">
        <v>655</v>
      </c>
      <c r="H111" s="5" t="s">
        <v>656</v>
      </c>
      <c r="I111" s="20" t="s">
        <v>98</v>
      </c>
      <c r="J111" s="20" t="s">
        <v>77</v>
      </c>
      <c r="K111" s="5" t="s">
        <v>168</v>
      </c>
      <c r="L111" s="21"/>
      <c r="M111" s="22"/>
      <c r="N111" s="22"/>
      <c r="O111" s="22"/>
      <c r="P111" s="23"/>
    </row>
    <row r="112" customFormat="false" ht="29.25" hidden="false" customHeight="true" outlineLevel="0" collapsed="false">
      <c r="A112" s="19" t="n">
        <v>111</v>
      </c>
      <c r="B112" s="19" t="s">
        <v>657</v>
      </c>
      <c r="C112" s="5" t="s">
        <v>71</v>
      </c>
      <c r="D112" s="5" t="s">
        <v>658</v>
      </c>
      <c r="E112" s="5" t="s">
        <v>659</v>
      </c>
      <c r="F112" s="5" t="s">
        <v>645</v>
      </c>
      <c r="G112" s="4" t="s">
        <v>660</v>
      </c>
      <c r="H112" s="5" t="s">
        <v>661</v>
      </c>
      <c r="I112" s="20" t="s">
        <v>98</v>
      </c>
      <c r="J112" s="20" t="s">
        <v>77</v>
      </c>
      <c r="K112" s="5" t="s">
        <v>662</v>
      </c>
      <c r="L112" s="21"/>
      <c r="M112" s="22"/>
      <c r="N112" s="22"/>
      <c r="O112" s="22"/>
      <c r="P112" s="23"/>
    </row>
    <row r="113" customFormat="false" ht="29.25" hidden="false" customHeight="true" outlineLevel="0" collapsed="false">
      <c r="A113" s="19" t="n">
        <v>112</v>
      </c>
      <c r="B113" s="19" t="s">
        <v>663</v>
      </c>
      <c r="C113" s="5" t="s">
        <v>71</v>
      </c>
      <c r="D113" s="5" t="s">
        <v>664</v>
      </c>
      <c r="E113" s="5" t="s">
        <v>665</v>
      </c>
      <c r="F113" s="5" t="s">
        <v>666</v>
      </c>
      <c r="G113" s="4" t="s">
        <v>667</v>
      </c>
      <c r="H113" s="5" t="s">
        <v>668</v>
      </c>
      <c r="I113" s="20" t="s">
        <v>98</v>
      </c>
      <c r="J113" s="20" t="s">
        <v>77</v>
      </c>
      <c r="K113" s="5" t="s">
        <v>669</v>
      </c>
      <c r="L113" s="21"/>
      <c r="M113" s="22"/>
      <c r="N113" s="22"/>
      <c r="O113" s="22"/>
      <c r="P113" s="23"/>
    </row>
    <row r="114" customFormat="false" ht="29.25" hidden="false" customHeight="true" outlineLevel="0" collapsed="false">
      <c r="A114" s="19" t="n">
        <v>113</v>
      </c>
      <c r="B114" s="19" t="s">
        <v>670</v>
      </c>
      <c r="C114" s="5" t="s">
        <v>71</v>
      </c>
      <c r="D114" s="5" t="s">
        <v>671</v>
      </c>
      <c r="E114" s="5" t="s">
        <v>672</v>
      </c>
      <c r="F114" s="5" t="s">
        <v>673</v>
      </c>
      <c r="G114" s="4" t="s">
        <v>674</v>
      </c>
      <c r="H114" s="5" t="s">
        <v>675</v>
      </c>
      <c r="I114" s="20" t="s">
        <v>98</v>
      </c>
      <c r="J114" s="20" t="s">
        <v>78</v>
      </c>
      <c r="K114" s="5" t="s">
        <v>676</v>
      </c>
      <c r="L114" s="21"/>
      <c r="M114" s="22"/>
      <c r="N114" s="22"/>
      <c r="O114" s="22"/>
      <c r="P114" s="23"/>
    </row>
    <row r="115" customFormat="false" ht="29.25" hidden="false" customHeight="true" outlineLevel="0" collapsed="false">
      <c r="A115" s="19" t="n">
        <v>114</v>
      </c>
      <c r="B115" s="19" t="s">
        <v>677</v>
      </c>
      <c r="C115" s="5" t="s">
        <v>72</v>
      </c>
      <c r="D115" s="5" t="s">
        <v>678</v>
      </c>
      <c r="E115" s="5" t="s">
        <v>679</v>
      </c>
      <c r="F115" s="5" t="s">
        <v>680</v>
      </c>
      <c r="G115" s="4" t="s">
        <v>681</v>
      </c>
      <c r="H115" s="5" t="s">
        <v>682</v>
      </c>
      <c r="I115" s="20" t="s">
        <v>98</v>
      </c>
      <c r="J115" s="20" t="s">
        <v>77</v>
      </c>
      <c r="K115" s="5" t="s">
        <v>120</v>
      </c>
      <c r="L115" s="21"/>
      <c r="M115" s="22"/>
      <c r="N115" s="22"/>
      <c r="O115" s="22"/>
      <c r="P115" s="23"/>
    </row>
    <row r="116" customFormat="false" ht="15" hidden="false" customHeight="true" outlineLevel="0" collapsed="false">
      <c r="A116" s="19" t="n">
        <v>115</v>
      </c>
      <c r="B116" s="19" t="s">
        <v>683</v>
      </c>
      <c r="C116" s="5" t="s">
        <v>72</v>
      </c>
      <c r="D116" s="5" t="s">
        <v>678</v>
      </c>
      <c r="E116" s="5" t="s">
        <v>684</v>
      </c>
      <c r="F116" s="4" t="s">
        <v>685</v>
      </c>
      <c r="G116" s="4" t="s">
        <v>686</v>
      </c>
      <c r="H116" s="5" t="s">
        <v>687</v>
      </c>
      <c r="I116" s="20" t="s">
        <v>98</v>
      </c>
      <c r="J116" s="20" t="s">
        <v>77</v>
      </c>
      <c r="K116" s="5" t="s">
        <v>163</v>
      </c>
      <c r="L116" s="21"/>
      <c r="M116" s="22"/>
      <c r="N116" s="22"/>
      <c r="O116" s="22"/>
      <c r="P116" s="23"/>
    </row>
    <row r="117" customFormat="false" ht="15" hidden="false" customHeight="true" outlineLevel="0" collapsed="false">
      <c r="A117" s="19" t="n">
        <v>116</v>
      </c>
      <c r="B117" s="19" t="s">
        <v>688</v>
      </c>
      <c r="C117" s="5" t="s">
        <v>72</v>
      </c>
      <c r="D117" s="5" t="s">
        <v>689</v>
      </c>
      <c r="E117" s="5" t="s">
        <v>690</v>
      </c>
      <c r="F117" s="5" t="s">
        <v>691</v>
      </c>
      <c r="G117" s="4" t="s">
        <v>692</v>
      </c>
      <c r="H117" s="5" t="s">
        <v>693</v>
      </c>
      <c r="I117" s="20" t="s">
        <v>267</v>
      </c>
      <c r="J117" s="20" t="s">
        <v>76</v>
      </c>
      <c r="K117" s="4" t="s">
        <v>694</v>
      </c>
      <c r="L117" s="21"/>
      <c r="M117" s="22"/>
      <c r="N117" s="22"/>
      <c r="O117" s="22"/>
      <c r="P117" s="23"/>
    </row>
    <row r="118" customFormat="false" ht="29.25" hidden="false" customHeight="true" outlineLevel="0" collapsed="false">
      <c r="A118" s="19" t="n">
        <v>117</v>
      </c>
      <c r="B118" s="19" t="s">
        <v>695</v>
      </c>
      <c r="C118" s="5" t="s">
        <v>72</v>
      </c>
      <c r="D118" s="5" t="s">
        <v>689</v>
      </c>
      <c r="E118" s="5" t="s">
        <v>696</v>
      </c>
      <c r="F118" s="5" t="s">
        <v>697</v>
      </c>
      <c r="G118" s="4" t="s">
        <v>698</v>
      </c>
      <c r="H118" s="5" t="s">
        <v>699</v>
      </c>
      <c r="I118" s="20" t="s">
        <v>98</v>
      </c>
      <c r="J118" s="20" t="s">
        <v>77</v>
      </c>
      <c r="K118" s="5" t="s">
        <v>209</v>
      </c>
      <c r="L118" s="21"/>
      <c r="M118" s="22"/>
      <c r="N118" s="22"/>
      <c r="O118" s="22"/>
      <c r="P118" s="23"/>
    </row>
    <row r="119" customFormat="false" ht="15" hidden="false" customHeight="true" outlineLevel="0" collapsed="false">
      <c r="A119" s="19" t="n">
        <v>118</v>
      </c>
      <c r="B119" s="19" t="s">
        <v>700</v>
      </c>
      <c r="C119" s="5" t="s">
        <v>72</v>
      </c>
      <c r="D119" s="5" t="s">
        <v>689</v>
      </c>
      <c r="E119" s="5" t="s">
        <v>701</v>
      </c>
      <c r="F119" s="4" t="s">
        <v>702</v>
      </c>
      <c r="G119" s="4" t="s">
        <v>703</v>
      </c>
      <c r="H119" s="5" t="s">
        <v>704</v>
      </c>
      <c r="I119" s="20" t="s">
        <v>98</v>
      </c>
      <c r="J119" s="20" t="s">
        <v>77</v>
      </c>
      <c r="K119" s="5" t="s">
        <v>209</v>
      </c>
      <c r="L119" s="21"/>
      <c r="M119" s="22"/>
      <c r="N119" s="22"/>
      <c r="O119" s="22"/>
      <c r="P119" s="23"/>
    </row>
    <row r="120" customFormat="false" ht="29.25" hidden="false" customHeight="true" outlineLevel="0" collapsed="false">
      <c r="A120" s="19" t="n">
        <v>119</v>
      </c>
      <c r="B120" s="19" t="s">
        <v>705</v>
      </c>
      <c r="C120" s="5" t="s">
        <v>73</v>
      </c>
      <c r="D120" s="5" t="s">
        <v>706</v>
      </c>
      <c r="E120" s="5" t="s">
        <v>707</v>
      </c>
      <c r="F120" s="5" t="s">
        <v>708</v>
      </c>
      <c r="G120" s="4" t="s">
        <v>709</v>
      </c>
      <c r="H120" s="5" t="s">
        <v>710</v>
      </c>
      <c r="I120" s="20" t="s">
        <v>267</v>
      </c>
      <c r="J120" s="20" t="s">
        <v>76</v>
      </c>
      <c r="K120" s="5" t="s">
        <v>662</v>
      </c>
      <c r="L120" s="21"/>
      <c r="M120" s="22"/>
      <c r="N120" s="22"/>
      <c r="O120" s="22"/>
      <c r="P120" s="23"/>
    </row>
    <row r="121" customFormat="false" ht="15" hidden="false" customHeight="true" outlineLevel="0" collapsed="false">
      <c r="A121" s="19" t="n">
        <v>120</v>
      </c>
      <c r="B121" s="19" t="s">
        <v>711</v>
      </c>
      <c r="C121" s="5" t="s">
        <v>73</v>
      </c>
      <c r="D121" s="5" t="s">
        <v>712</v>
      </c>
      <c r="E121" s="5" t="s">
        <v>713</v>
      </c>
      <c r="F121" s="5" t="s">
        <v>714</v>
      </c>
      <c r="G121" s="4" t="s">
        <v>715</v>
      </c>
      <c r="H121" s="5" t="s">
        <v>716</v>
      </c>
      <c r="I121" s="20" t="s">
        <v>98</v>
      </c>
      <c r="J121" s="20" t="s">
        <v>76</v>
      </c>
      <c r="K121" s="5" t="s">
        <v>662</v>
      </c>
      <c r="L121" s="21"/>
      <c r="M121" s="22"/>
      <c r="N121" s="22"/>
      <c r="O121" s="22"/>
      <c r="P121" s="23"/>
    </row>
    <row r="122" customFormat="false" ht="29.25" hidden="false" customHeight="true" outlineLevel="0" collapsed="false">
      <c r="A122" s="19" t="n">
        <v>121</v>
      </c>
      <c r="B122" s="19" t="s">
        <v>717</v>
      </c>
      <c r="C122" s="5" t="s">
        <v>73</v>
      </c>
      <c r="D122" s="5" t="s">
        <v>712</v>
      </c>
      <c r="E122" s="5" t="s">
        <v>718</v>
      </c>
      <c r="F122" s="5" t="s">
        <v>708</v>
      </c>
      <c r="G122" s="4" t="s">
        <v>719</v>
      </c>
      <c r="H122" s="5" t="s">
        <v>720</v>
      </c>
      <c r="I122" s="20" t="s">
        <v>267</v>
      </c>
      <c r="J122" s="20" t="s">
        <v>76</v>
      </c>
      <c r="K122" s="5" t="s">
        <v>662</v>
      </c>
      <c r="L122" s="21"/>
      <c r="M122" s="22"/>
      <c r="N122" s="22"/>
      <c r="O122" s="22"/>
      <c r="P122" s="23"/>
    </row>
    <row r="123" customFormat="false" ht="29.25" hidden="false" customHeight="true" outlineLevel="0" collapsed="false">
      <c r="A123" s="19" t="n">
        <v>122</v>
      </c>
      <c r="B123" s="19" t="s">
        <v>721</v>
      </c>
      <c r="C123" s="5" t="s">
        <v>73</v>
      </c>
      <c r="D123" s="5" t="s">
        <v>722</v>
      </c>
      <c r="E123" s="5" t="s">
        <v>723</v>
      </c>
      <c r="F123" s="5" t="s">
        <v>724</v>
      </c>
      <c r="G123" s="4" t="s">
        <v>725</v>
      </c>
      <c r="H123" s="5" t="s">
        <v>726</v>
      </c>
      <c r="I123" s="20" t="s">
        <v>98</v>
      </c>
      <c r="J123" s="20" t="s">
        <v>78</v>
      </c>
      <c r="K123" s="5" t="s">
        <v>727</v>
      </c>
      <c r="L123" s="21"/>
      <c r="M123" s="22"/>
      <c r="N123" s="22"/>
      <c r="O123" s="22"/>
      <c r="P123" s="23"/>
    </row>
    <row r="124" customFormat="false" ht="29.25" hidden="false" customHeight="true" outlineLevel="0" collapsed="false">
      <c r="A124" s="19" t="n">
        <v>123</v>
      </c>
      <c r="B124" s="19" t="s">
        <v>728</v>
      </c>
      <c r="C124" s="5" t="s">
        <v>73</v>
      </c>
      <c r="D124" s="5" t="s">
        <v>729</v>
      </c>
      <c r="E124" s="5" t="s">
        <v>730</v>
      </c>
      <c r="F124" s="5" t="s">
        <v>731</v>
      </c>
      <c r="G124" s="4" t="s">
        <v>732</v>
      </c>
      <c r="H124" s="5" t="s">
        <v>733</v>
      </c>
      <c r="I124" s="20" t="s">
        <v>98</v>
      </c>
      <c r="J124" s="20" t="s">
        <v>76</v>
      </c>
      <c r="K124" s="5" t="s">
        <v>662</v>
      </c>
      <c r="L124" s="21"/>
      <c r="M124" s="22"/>
      <c r="N124" s="22"/>
      <c r="O124" s="22"/>
      <c r="P124" s="23"/>
    </row>
    <row r="125" customFormat="false" ht="15" hidden="false" customHeight="true" outlineLevel="0" collapsed="false">
      <c r="A125" s="19" t="n">
        <v>124</v>
      </c>
      <c r="B125" s="19" t="s">
        <v>734</v>
      </c>
      <c r="C125" s="4" t="s">
        <v>74</v>
      </c>
      <c r="D125" s="5" t="s">
        <v>735</v>
      </c>
      <c r="E125" s="5" t="s">
        <v>736</v>
      </c>
      <c r="F125" s="5" t="s">
        <v>103</v>
      </c>
      <c r="G125" s="4" t="s">
        <v>737</v>
      </c>
      <c r="H125" s="5" t="s">
        <v>738</v>
      </c>
      <c r="I125" s="20" t="s">
        <v>98</v>
      </c>
      <c r="J125" s="20" t="s">
        <v>77</v>
      </c>
      <c r="K125" s="5" t="s">
        <v>739</v>
      </c>
      <c r="L125" s="21"/>
      <c r="M125" s="22"/>
      <c r="N125" s="22"/>
      <c r="O125" s="22"/>
      <c r="P125" s="23"/>
    </row>
    <row r="126" customFormat="false" ht="15" hidden="false" customHeight="true" outlineLevel="0" collapsed="false">
      <c r="A126" s="19" t="n">
        <v>125</v>
      </c>
      <c r="B126" s="19" t="s">
        <v>740</v>
      </c>
      <c r="C126" s="4" t="s">
        <v>74</v>
      </c>
      <c r="D126" s="5" t="s">
        <v>735</v>
      </c>
      <c r="E126" s="5" t="s">
        <v>741</v>
      </c>
      <c r="F126" s="5" t="s">
        <v>103</v>
      </c>
      <c r="G126" s="4" t="s">
        <v>742</v>
      </c>
      <c r="H126" s="5" t="s">
        <v>743</v>
      </c>
      <c r="I126" s="20" t="s">
        <v>98</v>
      </c>
      <c r="J126" s="20" t="s">
        <v>77</v>
      </c>
      <c r="K126" s="5" t="s">
        <v>739</v>
      </c>
      <c r="L126" s="21"/>
      <c r="M126" s="22"/>
      <c r="N126" s="22"/>
      <c r="O126" s="22"/>
      <c r="P126" s="23"/>
    </row>
    <row r="127" customFormat="false" ht="29.25" hidden="false" customHeight="true" outlineLevel="0" collapsed="false">
      <c r="A127" s="19" t="n">
        <v>126</v>
      </c>
      <c r="B127" s="19" t="s">
        <v>744</v>
      </c>
      <c r="C127" s="4" t="s">
        <v>74</v>
      </c>
      <c r="D127" s="5" t="s">
        <v>735</v>
      </c>
      <c r="E127" s="5" t="s">
        <v>745</v>
      </c>
      <c r="F127" s="5" t="s">
        <v>103</v>
      </c>
      <c r="G127" s="4" t="s">
        <v>746</v>
      </c>
      <c r="H127" s="5" t="s">
        <v>747</v>
      </c>
      <c r="I127" s="20" t="s">
        <v>98</v>
      </c>
      <c r="J127" s="20" t="s">
        <v>77</v>
      </c>
      <c r="K127" s="5" t="s">
        <v>739</v>
      </c>
      <c r="L127" s="21"/>
      <c r="M127" s="22"/>
      <c r="N127" s="22"/>
      <c r="O127" s="22"/>
      <c r="P127" s="23"/>
    </row>
    <row r="128" customFormat="false" ht="15" hidden="false" customHeight="true" outlineLevel="0" collapsed="false">
      <c r="A128" s="19" t="n">
        <v>127</v>
      </c>
      <c r="B128" s="19" t="s">
        <v>748</v>
      </c>
      <c r="C128" s="4" t="s">
        <v>74</v>
      </c>
      <c r="D128" s="5" t="s">
        <v>735</v>
      </c>
      <c r="E128" s="5" t="s">
        <v>749</v>
      </c>
      <c r="F128" s="5" t="s">
        <v>103</v>
      </c>
      <c r="G128" s="4" t="s">
        <v>750</v>
      </c>
      <c r="H128" s="5" t="s">
        <v>751</v>
      </c>
      <c r="I128" s="20" t="s">
        <v>98</v>
      </c>
      <c r="J128" s="20" t="s">
        <v>77</v>
      </c>
      <c r="K128" s="5" t="s">
        <v>739</v>
      </c>
      <c r="L128" s="21"/>
      <c r="M128" s="22"/>
      <c r="N128" s="22"/>
      <c r="O128" s="22"/>
      <c r="P128" s="23"/>
    </row>
    <row r="129" customFormat="false" ht="29.25" hidden="false" customHeight="true" outlineLevel="0" collapsed="false">
      <c r="A129" s="19" t="n">
        <v>128</v>
      </c>
      <c r="B129" s="19" t="s">
        <v>752</v>
      </c>
      <c r="C129" s="4" t="s">
        <v>74</v>
      </c>
      <c r="D129" s="5" t="s">
        <v>735</v>
      </c>
      <c r="E129" s="5" t="s">
        <v>753</v>
      </c>
      <c r="F129" s="5" t="s">
        <v>103</v>
      </c>
      <c r="G129" s="4" t="s">
        <v>754</v>
      </c>
      <c r="H129" s="5" t="s">
        <v>755</v>
      </c>
      <c r="I129" s="20" t="s">
        <v>98</v>
      </c>
      <c r="J129" s="20" t="s">
        <v>77</v>
      </c>
      <c r="K129" s="5" t="s">
        <v>739</v>
      </c>
      <c r="L129" s="21"/>
      <c r="M129" s="22"/>
      <c r="N129" s="22"/>
      <c r="O129" s="22"/>
      <c r="P129" s="23"/>
    </row>
    <row r="130" customFormat="false" ht="29.25" hidden="false" customHeight="true" outlineLevel="0" collapsed="false">
      <c r="A130" s="19" t="n">
        <v>129</v>
      </c>
      <c r="B130" s="19" t="s">
        <v>756</v>
      </c>
      <c r="C130" s="4" t="s">
        <v>74</v>
      </c>
      <c r="D130" s="5" t="s">
        <v>735</v>
      </c>
      <c r="E130" s="5" t="s">
        <v>757</v>
      </c>
      <c r="F130" s="5" t="s">
        <v>103</v>
      </c>
      <c r="G130" s="4" t="s">
        <v>758</v>
      </c>
      <c r="H130" s="5" t="s">
        <v>759</v>
      </c>
      <c r="I130" s="20" t="s">
        <v>98</v>
      </c>
      <c r="J130" s="20" t="s">
        <v>77</v>
      </c>
      <c r="K130" s="5" t="s">
        <v>739</v>
      </c>
      <c r="L130" s="21"/>
      <c r="M130" s="22"/>
      <c r="N130" s="22"/>
      <c r="O130" s="22"/>
      <c r="P130" s="23"/>
    </row>
    <row r="131" customFormat="false" ht="29.25" hidden="false" customHeight="true" outlineLevel="0" collapsed="false">
      <c r="A131" s="19" t="n">
        <v>130</v>
      </c>
      <c r="B131" s="19" t="s">
        <v>760</v>
      </c>
      <c r="C131" s="4" t="s">
        <v>74</v>
      </c>
      <c r="D131" s="5" t="s">
        <v>735</v>
      </c>
      <c r="E131" s="5" t="s">
        <v>761</v>
      </c>
      <c r="F131" s="5" t="s">
        <v>103</v>
      </c>
      <c r="G131" s="4" t="s">
        <v>762</v>
      </c>
      <c r="H131" s="5" t="s">
        <v>763</v>
      </c>
      <c r="I131" s="20" t="s">
        <v>98</v>
      </c>
      <c r="J131" s="20" t="s">
        <v>76</v>
      </c>
      <c r="K131" s="5" t="s">
        <v>739</v>
      </c>
      <c r="L131" s="21"/>
      <c r="M131" s="22"/>
      <c r="N131" s="22"/>
      <c r="O131" s="22"/>
      <c r="P131" s="23"/>
    </row>
    <row r="132" customFormat="false" ht="29.25" hidden="false" customHeight="true" outlineLevel="0" collapsed="false">
      <c r="A132" s="19" t="n">
        <v>131</v>
      </c>
      <c r="B132" s="19" t="s">
        <v>764</v>
      </c>
      <c r="C132" s="4" t="s">
        <v>74</v>
      </c>
      <c r="D132" s="5" t="s">
        <v>735</v>
      </c>
      <c r="E132" s="5" t="s">
        <v>765</v>
      </c>
      <c r="F132" s="5" t="s">
        <v>103</v>
      </c>
      <c r="G132" s="4" t="s">
        <v>766</v>
      </c>
      <c r="H132" s="5" t="s">
        <v>767</v>
      </c>
      <c r="I132" s="20" t="s">
        <v>98</v>
      </c>
      <c r="J132" s="20" t="s">
        <v>77</v>
      </c>
      <c r="K132" s="5" t="s">
        <v>739</v>
      </c>
      <c r="L132" s="21"/>
      <c r="M132" s="22"/>
      <c r="N132" s="22"/>
      <c r="O132" s="22"/>
      <c r="P132" s="23"/>
    </row>
    <row r="133" customFormat="false" ht="15" hidden="false" customHeight="true" outlineLevel="0" collapsed="false">
      <c r="A133" s="19" t="n">
        <v>132</v>
      </c>
      <c r="B133" s="19" t="s">
        <v>768</v>
      </c>
      <c r="C133" s="4" t="s">
        <v>74</v>
      </c>
      <c r="D133" s="5" t="s">
        <v>735</v>
      </c>
      <c r="E133" s="5" t="s">
        <v>769</v>
      </c>
      <c r="F133" s="5" t="s">
        <v>103</v>
      </c>
      <c r="G133" s="4" t="s">
        <v>770</v>
      </c>
      <c r="H133" s="5" t="s">
        <v>771</v>
      </c>
      <c r="I133" s="20" t="s">
        <v>98</v>
      </c>
      <c r="J133" s="20" t="s">
        <v>77</v>
      </c>
      <c r="K133" s="5" t="s">
        <v>739</v>
      </c>
      <c r="L133" s="21"/>
      <c r="M133" s="22"/>
      <c r="N133" s="22"/>
      <c r="O133" s="22"/>
      <c r="P133" s="23"/>
    </row>
    <row r="134" customFormat="false" ht="15" hidden="false" customHeight="true" outlineLevel="0" collapsed="false">
      <c r="A134" s="19" t="n">
        <v>133</v>
      </c>
      <c r="B134" s="19" t="s">
        <v>772</v>
      </c>
      <c r="C134" s="4" t="s">
        <v>74</v>
      </c>
      <c r="D134" s="5" t="s">
        <v>735</v>
      </c>
      <c r="E134" s="5" t="s">
        <v>773</v>
      </c>
      <c r="F134" s="5" t="s">
        <v>103</v>
      </c>
      <c r="G134" s="4" t="s">
        <v>774</v>
      </c>
      <c r="H134" s="5" t="s">
        <v>775</v>
      </c>
      <c r="I134" s="20" t="s">
        <v>98</v>
      </c>
      <c r="J134" s="20" t="s">
        <v>77</v>
      </c>
      <c r="K134" s="5" t="s">
        <v>739</v>
      </c>
      <c r="L134" s="21"/>
      <c r="M134" s="22"/>
      <c r="N134" s="22"/>
      <c r="O134" s="22"/>
      <c r="P134" s="23"/>
    </row>
    <row r="135" customFormat="false" ht="15" hidden="false" customHeight="true" outlineLevel="0" collapsed="false">
      <c r="A135" s="19" t="n">
        <v>134</v>
      </c>
      <c r="B135" s="19" t="s">
        <v>776</v>
      </c>
      <c r="C135" s="4" t="s">
        <v>74</v>
      </c>
      <c r="D135" s="5" t="s">
        <v>735</v>
      </c>
      <c r="E135" s="5" t="s">
        <v>777</v>
      </c>
      <c r="F135" s="5" t="s">
        <v>103</v>
      </c>
      <c r="G135" s="4" t="s">
        <v>778</v>
      </c>
      <c r="H135" s="5" t="s">
        <v>779</v>
      </c>
      <c r="I135" s="20" t="s">
        <v>98</v>
      </c>
      <c r="J135" s="20" t="s">
        <v>77</v>
      </c>
      <c r="K135" s="5" t="s">
        <v>739</v>
      </c>
      <c r="L135" s="21"/>
      <c r="M135" s="22"/>
      <c r="N135" s="22"/>
      <c r="O135" s="22"/>
      <c r="P135" s="23"/>
    </row>
    <row r="136" customFormat="false" ht="15" hidden="false" customHeight="true" outlineLevel="0" collapsed="false">
      <c r="A136" s="19" t="n">
        <v>135</v>
      </c>
      <c r="B136" s="19" t="s">
        <v>780</v>
      </c>
      <c r="C136" s="4" t="s">
        <v>74</v>
      </c>
      <c r="D136" s="5" t="s">
        <v>735</v>
      </c>
      <c r="E136" s="5" t="s">
        <v>781</v>
      </c>
      <c r="F136" s="5" t="s">
        <v>103</v>
      </c>
      <c r="G136" s="4" t="s">
        <v>782</v>
      </c>
      <c r="H136" s="5" t="s">
        <v>783</v>
      </c>
      <c r="I136" s="20" t="s">
        <v>98</v>
      </c>
      <c r="J136" s="20" t="s">
        <v>76</v>
      </c>
      <c r="K136" s="5" t="s">
        <v>739</v>
      </c>
      <c r="L136" s="21"/>
      <c r="M136" s="22"/>
      <c r="N136" s="22"/>
      <c r="O136" s="22"/>
      <c r="P136" s="23"/>
    </row>
    <row r="137" customFormat="false" ht="29.25" hidden="false" customHeight="true" outlineLevel="0" collapsed="false">
      <c r="A137" s="19" t="n">
        <v>136</v>
      </c>
      <c r="B137" s="19" t="s">
        <v>784</v>
      </c>
      <c r="C137" s="4" t="s">
        <v>74</v>
      </c>
      <c r="D137" s="5" t="s">
        <v>735</v>
      </c>
      <c r="E137" s="5" t="s">
        <v>785</v>
      </c>
      <c r="F137" s="5" t="s">
        <v>103</v>
      </c>
      <c r="G137" s="4" t="s">
        <v>786</v>
      </c>
      <c r="H137" s="5" t="s">
        <v>787</v>
      </c>
      <c r="I137" s="20" t="s">
        <v>98</v>
      </c>
      <c r="J137" s="20" t="s">
        <v>77</v>
      </c>
      <c r="K137" s="5" t="s">
        <v>739</v>
      </c>
      <c r="L137" s="21"/>
      <c r="M137" s="22"/>
      <c r="N137" s="22"/>
      <c r="O137" s="22"/>
      <c r="P137" s="23"/>
    </row>
    <row r="138" customFormat="false" ht="29.25" hidden="false" customHeight="true" outlineLevel="0" collapsed="false">
      <c r="A138" s="19" t="n">
        <v>137</v>
      </c>
      <c r="B138" s="19" t="s">
        <v>788</v>
      </c>
      <c r="C138" s="4" t="s">
        <v>74</v>
      </c>
      <c r="D138" s="5" t="s">
        <v>735</v>
      </c>
      <c r="E138" s="5" t="s">
        <v>789</v>
      </c>
      <c r="F138" s="5" t="s">
        <v>103</v>
      </c>
      <c r="G138" s="4" t="s">
        <v>790</v>
      </c>
      <c r="H138" s="5" t="s">
        <v>791</v>
      </c>
      <c r="I138" s="20" t="s">
        <v>98</v>
      </c>
      <c r="J138" s="20" t="s">
        <v>77</v>
      </c>
      <c r="K138" s="5" t="s">
        <v>739</v>
      </c>
      <c r="L138" s="21"/>
      <c r="M138" s="22"/>
      <c r="N138" s="22"/>
      <c r="O138" s="22"/>
      <c r="P138" s="23"/>
    </row>
    <row r="139" customFormat="false" ht="27" hidden="false" customHeight="true" outlineLevel="0" collapsed="false">
      <c r="A139" s="19" t="n">
        <v>138</v>
      </c>
      <c r="B139" s="19" t="s">
        <v>792</v>
      </c>
      <c r="C139" s="4" t="s">
        <v>74</v>
      </c>
      <c r="D139" s="5" t="s">
        <v>735</v>
      </c>
      <c r="E139" s="5" t="s">
        <v>793</v>
      </c>
      <c r="F139" s="5" t="s">
        <v>103</v>
      </c>
      <c r="G139" s="4" t="s">
        <v>794</v>
      </c>
      <c r="H139" s="5" t="s">
        <v>795</v>
      </c>
      <c r="I139" s="20" t="s">
        <v>98</v>
      </c>
      <c r="J139" s="20" t="s">
        <v>77</v>
      </c>
      <c r="K139" s="5" t="s">
        <v>739</v>
      </c>
      <c r="L139" s="21"/>
      <c r="M139" s="22"/>
      <c r="N139" s="22"/>
      <c r="O139" s="22"/>
      <c r="P139" s="23"/>
    </row>
    <row r="140" customFormat="false" ht="29.25" hidden="false" customHeight="true" outlineLevel="0" collapsed="false">
      <c r="A140" s="19" t="n">
        <v>139</v>
      </c>
      <c r="B140" s="19" t="s">
        <v>796</v>
      </c>
      <c r="C140" s="4" t="s">
        <v>74</v>
      </c>
      <c r="D140" s="5" t="s">
        <v>735</v>
      </c>
      <c r="E140" s="5" t="s">
        <v>797</v>
      </c>
      <c r="F140" s="5" t="s">
        <v>103</v>
      </c>
      <c r="G140" s="4" t="s">
        <v>798</v>
      </c>
      <c r="H140" s="5" t="s">
        <v>799</v>
      </c>
      <c r="I140" s="20" t="s">
        <v>98</v>
      </c>
      <c r="J140" s="20" t="s">
        <v>77</v>
      </c>
      <c r="K140" s="5" t="s">
        <v>739</v>
      </c>
      <c r="L140" s="21"/>
      <c r="M140" s="22"/>
      <c r="N140" s="22"/>
      <c r="O140" s="22"/>
      <c r="P140" s="23"/>
    </row>
    <row r="141" customFormat="false" ht="15" hidden="false" customHeight="true" outlineLevel="0" collapsed="false">
      <c r="A141" s="19" t="n">
        <v>140</v>
      </c>
      <c r="B141" s="19" t="s">
        <v>800</v>
      </c>
      <c r="C141" s="4" t="s">
        <v>74</v>
      </c>
      <c r="D141" s="5" t="s">
        <v>735</v>
      </c>
      <c r="E141" s="5" t="s">
        <v>801</v>
      </c>
      <c r="F141" s="5" t="s">
        <v>103</v>
      </c>
      <c r="G141" s="4" t="s">
        <v>802</v>
      </c>
      <c r="H141" s="5" t="s">
        <v>803</v>
      </c>
      <c r="I141" s="20" t="s">
        <v>98</v>
      </c>
      <c r="J141" s="20" t="s">
        <v>77</v>
      </c>
      <c r="K141" s="5" t="s">
        <v>739</v>
      </c>
      <c r="L141" s="21"/>
      <c r="M141" s="22"/>
      <c r="N141" s="22"/>
      <c r="O141" s="22"/>
      <c r="P141" s="23"/>
    </row>
    <row r="142" customFormat="false" ht="29.25" hidden="false" customHeight="true" outlineLevel="0" collapsed="false">
      <c r="A142" s="19" t="n">
        <v>141</v>
      </c>
      <c r="B142" s="19" t="s">
        <v>804</v>
      </c>
      <c r="C142" s="4" t="s">
        <v>74</v>
      </c>
      <c r="D142" s="5" t="s">
        <v>735</v>
      </c>
      <c r="E142" s="5" t="s">
        <v>805</v>
      </c>
      <c r="F142" s="5" t="s">
        <v>103</v>
      </c>
      <c r="G142" s="4" t="s">
        <v>806</v>
      </c>
      <c r="H142" s="5" t="s">
        <v>807</v>
      </c>
      <c r="I142" s="20" t="s">
        <v>98</v>
      </c>
      <c r="J142" s="20" t="s">
        <v>77</v>
      </c>
      <c r="K142" s="5" t="s">
        <v>739</v>
      </c>
      <c r="L142" s="21"/>
      <c r="M142" s="22"/>
      <c r="N142" s="22"/>
      <c r="O142" s="22"/>
      <c r="P142" s="23"/>
    </row>
    <row r="143" customFormat="false" ht="15" hidden="false" customHeight="true" outlineLevel="0" collapsed="false">
      <c r="A143" s="19" t="n">
        <v>142</v>
      </c>
      <c r="B143" s="19" t="s">
        <v>808</v>
      </c>
      <c r="C143" s="4" t="s">
        <v>74</v>
      </c>
      <c r="D143" s="5" t="s">
        <v>735</v>
      </c>
      <c r="E143" s="5" t="s">
        <v>809</v>
      </c>
      <c r="F143" s="5" t="s">
        <v>103</v>
      </c>
      <c r="G143" s="4" t="s">
        <v>810</v>
      </c>
      <c r="H143" s="5" t="s">
        <v>811</v>
      </c>
      <c r="I143" s="20" t="s">
        <v>98</v>
      </c>
      <c r="J143" s="20" t="s">
        <v>77</v>
      </c>
      <c r="K143" s="5" t="s">
        <v>739</v>
      </c>
      <c r="L143" s="21"/>
      <c r="M143" s="22"/>
      <c r="N143" s="22"/>
      <c r="O143" s="22"/>
      <c r="P143" s="23"/>
    </row>
    <row r="144" customFormat="false" ht="15" hidden="false" customHeight="true" outlineLevel="0" collapsed="false">
      <c r="A144" s="19" t="n">
        <v>143</v>
      </c>
      <c r="B144" s="19" t="s">
        <v>812</v>
      </c>
      <c r="C144" s="4" t="s">
        <v>74</v>
      </c>
      <c r="D144" s="5" t="s">
        <v>735</v>
      </c>
      <c r="E144" s="5" t="s">
        <v>813</v>
      </c>
      <c r="F144" s="5" t="s">
        <v>103</v>
      </c>
      <c r="G144" s="4" t="s">
        <v>814</v>
      </c>
      <c r="H144" s="5" t="s">
        <v>815</v>
      </c>
      <c r="I144" s="20" t="s">
        <v>98</v>
      </c>
      <c r="J144" s="20" t="s">
        <v>77</v>
      </c>
      <c r="K144" s="5" t="s">
        <v>739</v>
      </c>
      <c r="L144" s="21"/>
      <c r="M144" s="22"/>
      <c r="N144" s="22"/>
      <c r="O144" s="22"/>
      <c r="P144" s="23"/>
    </row>
    <row r="145" customFormat="false" ht="29.25" hidden="false" customHeight="true" outlineLevel="0" collapsed="false">
      <c r="A145" s="19" t="n">
        <v>144</v>
      </c>
      <c r="B145" s="19" t="s">
        <v>816</v>
      </c>
      <c r="C145" s="4" t="s">
        <v>74</v>
      </c>
      <c r="D145" s="5" t="s">
        <v>735</v>
      </c>
      <c r="E145" s="5" t="s">
        <v>817</v>
      </c>
      <c r="F145" s="5" t="s">
        <v>103</v>
      </c>
      <c r="G145" s="4" t="s">
        <v>818</v>
      </c>
      <c r="H145" s="5" t="s">
        <v>819</v>
      </c>
      <c r="I145" s="20" t="s">
        <v>98</v>
      </c>
      <c r="J145" s="20" t="s">
        <v>77</v>
      </c>
      <c r="K145" s="5" t="s">
        <v>739</v>
      </c>
      <c r="L145" s="21"/>
      <c r="M145" s="22"/>
      <c r="N145" s="22"/>
      <c r="O145" s="22"/>
      <c r="P145" s="23"/>
    </row>
    <row r="146" customFormat="false" ht="29.25" hidden="false" customHeight="true" outlineLevel="0" collapsed="false">
      <c r="A146" s="19" t="n">
        <v>145</v>
      </c>
      <c r="B146" s="19" t="s">
        <v>820</v>
      </c>
      <c r="C146" s="4" t="s">
        <v>74</v>
      </c>
      <c r="D146" s="5" t="s">
        <v>735</v>
      </c>
      <c r="E146" s="5" t="s">
        <v>821</v>
      </c>
      <c r="F146" s="5" t="s">
        <v>103</v>
      </c>
      <c r="G146" s="4" t="s">
        <v>822</v>
      </c>
      <c r="H146" s="5" t="s">
        <v>823</v>
      </c>
      <c r="I146" s="20" t="s">
        <v>98</v>
      </c>
      <c r="J146" s="20" t="s">
        <v>77</v>
      </c>
      <c r="K146" s="5" t="s">
        <v>739</v>
      </c>
      <c r="L146" s="21"/>
      <c r="M146" s="22"/>
      <c r="N146" s="22"/>
      <c r="O146" s="22"/>
      <c r="P146" s="23"/>
    </row>
    <row r="147" customFormat="false" ht="29.25" hidden="false" customHeight="true" outlineLevel="0" collapsed="false">
      <c r="A147" s="19" t="n">
        <v>146</v>
      </c>
      <c r="B147" s="19" t="s">
        <v>824</v>
      </c>
      <c r="C147" s="4" t="s">
        <v>74</v>
      </c>
      <c r="D147" s="5" t="s">
        <v>735</v>
      </c>
      <c r="E147" s="5" t="s">
        <v>825</v>
      </c>
      <c r="F147" s="5" t="s">
        <v>103</v>
      </c>
      <c r="G147" s="4" t="s">
        <v>826</v>
      </c>
      <c r="H147" s="5" t="s">
        <v>827</v>
      </c>
      <c r="I147" s="20" t="s">
        <v>98</v>
      </c>
      <c r="J147" s="20" t="s">
        <v>76</v>
      </c>
      <c r="K147" s="5" t="s">
        <v>739</v>
      </c>
      <c r="L147" s="21"/>
      <c r="M147" s="22"/>
      <c r="N147" s="22"/>
      <c r="O147" s="22"/>
      <c r="P147" s="23"/>
    </row>
    <row r="148" customFormat="false" ht="29.25" hidden="false" customHeight="true" outlineLevel="0" collapsed="false">
      <c r="A148" s="19" t="n">
        <v>147</v>
      </c>
      <c r="B148" s="19" t="s">
        <v>828</v>
      </c>
      <c r="C148" s="5" t="s">
        <v>64</v>
      </c>
      <c r="D148" s="4" t="s">
        <v>230</v>
      </c>
      <c r="E148" s="5" t="s">
        <v>829</v>
      </c>
      <c r="F148" s="4" t="s">
        <v>232</v>
      </c>
      <c r="G148" s="4" t="s">
        <v>830</v>
      </c>
      <c r="H148" s="5" t="s">
        <v>831</v>
      </c>
      <c r="I148" s="19" t="s">
        <v>98</v>
      </c>
      <c r="J148" s="20" t="s">
        <v>77</v>
      </c>
      <c r="K148" s="5" t="s">
        <v>235</v>
      </c>
      <c r="L148" s="21"/>
      <c r="M148" s="22"/>
      <c r="N148" s="22"/>
      <c r="O148" s="22"/>
      <c r="P148" s="23"/>
    </row>
    <row r="149" customFormat="false" ht="29.25" hidden="false" customHeight="true" outlineLevel="0" collapsed="false">
      <c r="A149" s="19" t="n">
        <v>148</v>
      </c>
      <c r="B149" s="19" t="s">
        <v>832</v>
      </c>
      <c r="C149" s="5" t="s">
        <v>64</v>
      </c>
      <c r="D149" s="4" t="s">
        <v>245</v>
      </c>
      <c r="E149" s="5" t="s">
        <v>829</v>
      </c>
      <c r="F149" s="4" t="s">
        <v>246</v>
      </c>
      <c r="G149" s="4" t="s">
        <v>830</v>
      </c>
      <c r="H149" s="5" t="s">
        <v>831</v>
      </c>
      <c r="I149" s="19" t="s">
        <v>98</v>
      </c>
      <c r="J149" s="20" t="s">
        <v>77</v>
      </c>
      <c r="K149" s="5" t="s">
        <v>235</v>
      </c>
      <c r="L149" s="21"/>
      <c r="M149" s="22"/>
      <c r="N149" s="22"/>
      <c r="O149" s="22"/>
      <c r="P149" s="23"/>
    </row>
    <row r="150" customFormat="false" ht="29.25" hidden="false" customHeight="true" outlineLevel="0" collapsed="false">
      <c r="A150" s="19" t="n">
        <v>149</v>
      </c>
      <c r="B150" s="19" t="s">
        <v>833</v>
      </c>
      <c r="C150" s="5" t="s">
        <v>64</v>
      </c>
      <c r="D150" s="5" t="s">
        <v>834</v>
      </c>
      <c r="E150" s="5" t="s">
        <v>835</v>
      </c>
      <c r="F150" s="4" t="s">
        <v>836</v>
      </c>
      <c r="G150" s="4" t="s">
        <v>837</v>
      </c>
      <c r="H150" s="5" t="s">
        <v>838</v>
      </c>
      <c r="I150" s="20" t="s">
        <v>98</v>
      </c>
      <c r="J150" s="20" t="s">
        <v>78</v>
      </c>
      <c r="K150" s="5" t="s">
        <v>235</v>
      </c>
      <c r="L150" s="21"/>
      <c r="M150" s="22"/>
      <c r="N150" s="22"/>
      <c r="O150" s="22"/>
      <c r="P150" s="23"/>
    </row>
    <row r="151" customFormat="false" ht="15" hidden="false" customHeight="true" outlineLevel="0" collapsed="false">
      <c r="A151" s="19" t="n">
        <v>150</v>
      </c>
      <c r="B151" s="19" t="s">
        <v>839</v>
      </c>
      <c r="C151" s="5" t="s">
        <v>64</v>
      </c>
      <c r="D151" s="5" t="s">
        <v>380</v>
      </c>
      <c r="E151" s="5" t="s">
        <v>840</v>
      </c>
      <c r="F151" s="5" t="s">
        <v>841</v>
      </c>
      <c r="G151" s="4" t="s">
        <v>842</v>
      </c>
      <c r="H151" s="5" t="s">
        <v>843</v>
      </c>
      <c r="I151" s="20" t="s">
        <v>98</v>
      </c>
      <c r="J151" s="20" t="s">
        <v>77</v>
      </c>
      <c r="K151" s="5" t="s">
        <v>235</v>
      </c>
      <c r="L151" s="21"/>
      <c r="M151" s="22"/>
      <c r="N151" s="22"/>
      <c r="O151" s="22"/>
      <c r="P151" s="23"/>
    </row>
    <row r="152" customFormat="false" ht="29.25" hidden="false" customHeight="true" outlineLevel="0" collapsed="false">
      <c r="A152" s="19" t="n">
        <v>151</v>
      </c>
      <c r="B152" s="19" t="s">
        <v>844</v>
      </c>
      <c r="C152" s="5" t="s">
        <v>67</v>
      </c>
      <c r="D152" s="4" t="s">
        <v>98</v>
      </c>
      <c r="E152" s="5" t="s">
        <v>845</v>
      </c>
      <c r="F152" s="4" t="s">
        <v>434</v>
      </c>
      <c r="G152" s="4" t="s">
        <v>846</v>
      </c>
      <c r="H152" s="4" t="s">
        <v>847</v>
      </c>
      <c r="I152" s="19" t="s">
        <v>98</v>
      </c>
      <c r="J152" s="20" t="s">
        <v>77</v>
      </c>
      <c r="K152" s="5" t="s">
        <v>848</v>
      </c>
      <c r="L152" s="21"/>
      <c r="M152" s="22"/>
      <c r="N152" s="22"/>
      <c r="O152" s="22"/>
      <c r="P152" s="23"/>
    </row>
    <row r="153" customFormat="false" ht="43.5" hidden="false" customHeight="true" outlineLevel="0" collapsed="false">
      <c r="A153" s="19" t="n">
        <v>152</v>
      </c>
      <c r="B153" s="19" t="s">
        <v>849</v>
      </c>
      <c r="C153" s="5" t="s">
        <v>67</v>
      </c>
      <c r="D153" s="4" t="s">
        <v>850</v>
      </c>
      <c r="E153" s="5" t="s">
        <v>851</v>
      </c>
      <c r="F153" s="5" t="s">
        <v>852</v>
      </c>
      <c r="G153" s="4" t="s">
        <v>853</v>
      </c>
      <c r="H153" s="5" t="s">
        <v>854</v>
      </c>
      <c r="I153" s="20" t="s">
        <v>267</v>
      </c>
      <c r="J153" s="20" t="s">
        <v>76</v>
      </c>
      <c r="K153" s="5" t="s">
        <v>848</v>
      </c>
      <c r="L153" s="21"/>
      <c r="M153" s="22"/>
      <c r="N153" s="22"/>
      <c r="O153" s="22"/>
      <c r="P153" s="23"/>
    </row>
    <row r="154" customFormat="false" ht="43.5" hidden="false" customHeight="true" outlineLevel="0" collapsed="false">
      <c r="A154" s="19" t="n">
        <v>153</v>
      </c>
      <c r="B154" s="19" t="s">
        <v>855</v>
      </c>
      <c r="C154" s="5" t="s">
        <v>67</v>
      </c>
      <c r="D154" s="4" t="s">
        <v>850</v>
      </c>
      <c r="E154" s="5" t="s">
        <v>856</v>
      </c>
      <c r="F154" s="4" t="s">
        <v>857</v>
      </c>
      <c r="G154" s="4" t="s">
        <v>858</v>
      </c>
      <c r="H154" s="5" t="s">
        <v>859</v>
      </c>
      <c r="I154" s="20" t="s">
        <v>98</v>
      </c>
      <c r="J154" s="20" t="s">
        <v>77</v>
      </c>
      <c r="K154" s="5" t="s">
        <v>848</v>
      </c>
      <c r="L154" s="21"/>
      <c r="M154" s="22"/>
      <c r="N154" s="22"/>
      <c r="O154" s="22"/>
      <c r="P154" s="23"/>
    </row>
    <row r="155" customFormat="false" ht="43.5" hidden="false" customHeight="true" outlineLevel="0" collapsed="false">
      <c r="A155" s="19" t="n">
        <v>154</v>
      </c>
      <c r="B155" s="19" t="s">
        <v>860</v>
      </c>
      <c r="C155" s="5" t="s">
        <v>67</v>
      </c>
      <c r="D155" s="5" t="s">
        <v>417</v>
      </c>
      <c r="E155" s="5" t="s">
        <v>861</v>
      </c>
      <c r="F155" s="5" t="s">
        <v>862</v>
      </c>
      <c r="G155" s="4" t="s">
        <v>863</v>
      </c>
      <c r="H155" s="5" t="s">
        <v>864</v>
      </c>
      <c r="I155" s="20" t="s">
        <v>267</v>
      </c>
      <c r="J155" s="20" t="s">
        <v>77</v>
      </c>
      <c r="K155" s="5" t="s">
        <v>848</v>
      </c>
      <c r="L155" s="21"/>
      <c r="M155" s="22"/>
      <c r="N155" s="22"/>
      <c r="O155" s="22"/>
      <c r="P155" s="23"/>
    </row>
    <row r="156" customFormat="false" ht="43.5" hidden="false" customHeight="true" outlineLevel="0" collapsed="false">
      <c r="A156" s="19" t="n">
        <v>155</v>
      </c>
      <c r="B156" s="19" t="s">
        <v>865</v>
      </c>
      <c r="C156" s="5" t="s">
        <v>67</v>
      </c>
      <c r="D156" s="4" t="s">
        <v>866</v>
      </c>
      <c r="E156" s="5" t="s">
        <v>867</v>
      </c>
      <c r="F156" s="5" t="s">
        <v>270</v>
      </c>
      <c r="G156" s="4" t="s">
        <v>868</v>
      </c>
      <c r="H156" s="4" t="s">
        <v>869</v>
      </c>
      <c r="I156" s="20" t="s">
        <v>267</v>
      </c>
      <c r="J156" s="20" t="s">
        <v>77</v>
      </c>
      <c r="K156" s="5" t="s">
        <v>393</v>
      </c>
      <c r="L156" s="21"/>
      <c r="M156" s="22"/>
      <c r="N156" s="22"/>
      <c r="O156" s="22"/>
      <c r="P156" s="23"/>
    </row>
    <row r="157" customFormat="false" ht="43.5" hidden="false" customHeight="true" outlineLevel="0" collapsed="false">
      <c r="A157" s="19" t="n">
        <v>156</v>
      </c>
      <c r="B157" s="19" t="s">
        <v>870</v>
      </c>
      <c r="C157" s="5" t="s">
        <v>69</v>
      </c>
      <c r="D157" s="5" t="s">
        <v>871</v>
      </c>
      <c r="E157" s="5" t="s">
        <v>872</v>
      </c>
      <c r="F157" s="5" t="s">
        <v>578</v>
      </c>
      <c r="G157" s="4" t="s">
        <v>873</v>
      </c>
      <c r="H157" s="5" t="s">
        <v>874</v>
      </c>
      <c r="I157" s="20" t="s">
        <v>267</v>
      </c>
      <c r="J157" s="20" t="s">
        <v>78</v>
      </c>
      <c r="K157" s="5" t="s">
        <v>581</v>
      </c>
      <c r="L157" s="21"/>
      <c r="M157" s="22"/>
      <c r="N157" s="22"/>
      <c r="O157" s="22"/>
      <c r="P157" s="23"/>
    </row>
    <row r="158" customFormat="false" ht="43.5" hidden="false" customHeight="true" outlineLevel="0" collapsed="false">
      <c r="A158" s="19" t="n">
        <v>157</v>
      </c>
      <c r="B158" s="19" t="s">
        <v>875</v>
      </c>
      <c r="C158" s="5" t="s">
        <v>69</v>
      </c>
      <c r="D158" s="5" t="s">
        <v>400</v>
      </c>
      <c r="E158" s="4" t="s">
        <v>876</v>
      </c>
      <c r="F158" s="5" t="s">
        <v>270</v>
      </c>
      <c r="G158" s="4" t="s">
        <v>877</v>
      </c>
      <c r="H158" s="5" t="s">
        <v>878</v>
      </c>
      <c r="I158" s="20" t="s">
        <v>267</v>
      </c>
      <c r="J158" s="20" t="s">
        <v>77</v>
      </c>
      <c r="K158" s="5" t="s">
        <v>581</v>
      </c>
      <c r="L158" s="21"/>
      <c r="M158" s="22"/>
      <c r="N158" s="22"/>
      <c r="O158" s="22"/>
      <c r="P158" s="23"/>
    </row>
    <row r="159" customFormat="false" ht="29.25" hidden="false" customHeight="true" outlineLevel="0" collapsed="false">
      <c r="A159" s="19" t="n">
        <v>158</v>
      </c>
      <c r="B159" s="19" t="s">
        <v>879</v>
      </c>
      <c r="C159" s="5" t="s">
        <v>69</v>
      </c>
      <c r="D159" s="5" t="s">
        <v>880</v>
      </c>
      <c r="E159" s="4" t="s">
        <v>881</v>
      </c>
      <c r="F159" s="5" t="s">
        <v>508</v>
      </c>
      <c r="G159" s="4" t="s">
        <v>882</v>
      </c>
      <c r="H159" s="4" t="s">
        <v>883</v>
      </c>
      <c r="I159" s="20" t="s">
        <v>267</v>
      </c>
      <c r="J159" s="20" t="s">
        <v>78</v>
      </c>
      <c r="K159" s="5" t="s">
        <v>581</v>
      </c>
      <c r="L159" s="21"/>
      <c r="M159" s="22"/>
      <c r="N159" s="22"/>
      <c r="O159" s="22"/>
      <c r="P159" s="23"/>
    </row>
    <row r="160" customFormat="false" ht="43.5" hidden="false" customHeight="true" outlineLevel="0" collapsed="false">
      <c r="A160" s="19" t="n">
        <v>159</v>
      </c>
      <c r="B160" s="19" t="s">
        <v>884</v>
      </c>
      <c r="C160" s="5" t="s">
        <v>65</v>
      </c>
      <c r="D160" s="4" t="s">
        <v>885</v>
      </c>
      <c r="E160" s="5" t="s">
        <v>886</v>
      </c>
      <c r="F160" s="5" t="s">
        <v>264</v>
      </c>
      <c r="G160" s="4" t="s">
        <v>887</v>
      </c>
      <c r="H160" s="4" t="s">
        <v>266</v>
      </c>
      <c r="I160" s="20" t="s">
        <v>267</v>
      </c>
      <c r="J160" s="20" t="s">
        <v>77</v>
      </c>
      <c r="K160" s="5" t="s">
        <v>163</v>
      </c>
      <c r="L160" s="21"/>
      <c r="M160" s="22"/>
      <c r="N160" s="22"/>
      <c r="O160" s="22"/>
      <c r="P160" s="23"/>
    </row>
    <row r="161" customFormat="false" ht="29.25" hidden="false" customHeight="true" outlineLevel="0" collapsed="false">
      <c r="A161" s="19" t="n">
        <v>160</v>
      </c>
      <c r="B161" s="19" t="s">
        <v>888</v>
      </c>
      <c r="C161" s="5" t="s">
        <v>65</v>
      </c>
      <c r="D161" s="4" t="s">
        <v>885</v>
      </c>
      <c r="E161" s="5" t="s">
        <v>889</v>
      </c>
      <c r="F161" s="5" t="s">
        <v>264</v>
      </c>
      <c r="G161" s="4" t="s">
        <v>890</v>
      </c>
      <c r="H161" s="4" t="s">
        <v>266</v>
      </c>
      <c r="I161" s="20" t="s">
        <v>267</v>
      </c>
      <c r="J161" s="20" t="s">
        <v>77</v>
      </c>
      <c r="K161" s="5" t="s">
        <v>163</v>
      </c>
      <c r="L161" s="21"/>
      <c r="M161" s="22"/>
      <c r="N161" s="22"/>
      <c r="O161" s="22"/>
      <c r="P161" s="23"/>
    </row>
    <row r="162" customFormat="false" ht="29.25" hidden="false" customHeight="true" outlineLevel="0" collapsed="false">
      <c r="A162" s="19" t="n">
        <v>161</v>
      </c>
      <c r="B162" s="19" t="s">
        <v>891</v>
      </c>
      <c r="C162" s="5" t="s">
        <v>65</v>
      </c>
      <c r="D162" s="4" t="s">
        <v>885</v>
      </c>
      <c r="E162" s="5" t="s">
        <v>892</v>
      </c>
      <c r="F162" s="5" t="s">
        <v>264</v>
      </c>
      <c r="G162" s="4" t="s">
        <v>893</v>
      </c>
      <c r="H162" s="4" t="s">
        <v>266</v>
      </c>
      <c r="I162" s="20" t="s">
        <v>267</v>
      </c>
      <c r="J162" s="20" t="s">
        <v>77</v>
      </c>
      <c r="K162" s="5" t="s">
        <v>163</v>
      </c>
      <c r="L162" s="21"/>
      <c r="M162" s="22"/>
      <c r="N162" s="22"/>
      <c r="O162" s="22"/>
      <c r="P162" s="23"/>
    </row>
    <row r="163" customFormat="false" ht="29.25" hidden="false" customHeight="true" outlineLevel="0" collapsed="false">
      <c r="A163" s="19" t="n">
        <v>162</v>
      </c>
      <c r="B163" s="19" t="s">
        <v>894</v>
      </c>
      <c r="C163" s="5" t="s">
        <v>65</v>
      </c>
      <c r="D163" s="4" t="s">
        <v>885</v>
      </c>
      <c r="E163" s="5" t="s">
        <v>895</v>
      </c>
      <c r="F163" s="5" t="s">
        <v>264</v>
      </c>
      <c r="G163" s="4" t="s">
        <v>896</v>
      </c>
      <c r="H163" s="4" t="s">
        <v>266</v>
      </c>
      <c r="I163" s="20" t="s">
        <v>267</v>
      </c>
      <c r="J163" s="20" t="s">
        <v>77</v>
      </c>
      <c r="K163" s="5" t="s">
        <v>163</v>
      </c>
      <c r="L163" s="21"/>
      <c r="M163" s="22"/>
      <c r="N163" s="22"/>
      <c r="O163" s="22"/>
      <c r="P163" s="23"/>
    </row>
    <row r="164" customFormat="false" ht="43.5" hidden="false" customHeight="true" outlineLevel="0" collapsed="false">
      <c r="A164" s="19" t="n">
        <v>163</v>
      </c>
      <c r="B164" s="19" t="s">
        <v>897</v>
      </c>
      <c r="C164" s="5" t="s">
        <v>65</v>
      </c>
      <c r="D164" s="4" t="s">
        <v>885</v>
      </c>
      <c r="E164" s="5" t="s">
        <v>898</v>
      </c>
      <c r="F164" s="5" t="s">
        <v>264</v>
      </c>
      <c r="G164" s="4" t="s">
        <v>899</v>
      </c>
      <c r="H164" s="4" t="s">
        <v>266</v>
      </c>
      <c r="I164" s="20" t="s">
        <v>267</v>
      </c>
      <c r="J164" s="20" t="s">
        <v>77</v>
      </c>
      <c r="K164" s="5" t="s">
        <v>163</v>
      </c>
      <c r="L164" s="21"/>
      <c r="M164" s="22"/>
      <c r="N164" s="22"/>
      <c r="O164" s="22"/>
      <c r="P164" s="23"/>
    </row>
    <row r="165" customFormat="false" ht="29.25" hidden="false" customHeight="true" outlineLevel="0" collapsed="false">
      <c r="A165" s="19" t="n">
        <v>164</v>
      </c>
      <c r="B165" s="19" t="s">
        <v>900</v>
      </c>
      <c r="C165" s="5" t="s">
        <v>65</v>
      </c>
      <c r="D165" s="4" t="s">
        <v>885</v>
      </c>
      <c r="E165" s="5" t="s">
        <v>901</v>
      </c>
      <c r="F165" s="5" t="s">
        <v>264</v>
      </c>
      <c r="G165" s="4" t="s">
        <v>902</v>
      </c>
      <c r="H165" s="4" t="s">
        <v>266</v>
      </c>
      <c r="I165" s="20" t="s">
        <v>267</v>
      </c>
      <c r="J165" s="20" t="s">
        <v>77</v>
      </c>
      <c r="K165" s="5" t="s">
        <v>163</v>
      </c>
      <c r="L165" s="21"/>
      <c r="M165" s="22"/>
      <c r="N165" s="22"/>
      <c r="O165" s="22"/>
      <c r="P165" s="23"/>
    </row>
    <row r="166" customFormat="false" ht="29.25" hidden="false" customHeight="true" outlineLevel="0" collapsed="false"/>
    <row r="167" customFormat="false" ht="29.25" hidden="false" customHeight="true" outlineLevel="0" collapsed="false"/>
    <row r="168" customFormat="false" ht="43.5" hidden="false" customHeight="true" outlineLevel="0" collapsed="false"/>
    <row r="169" customFormat="false" ht="29.25" hidden="false" customHeight="true" outlineLevel="0" collapsed="false"/>
    <row r="170" customFormat="false" ht="29.25" hidden="false" customHeight="true" outlineLevel="0" collapsed="false"/>
    <row r="171" customFormat="false" ht="43.5" hidden="false" customHeight="true" outlineLevel="0" collapsed="false"/>
    <row r="172" customFormat="false" ht="29.25" hidden="false" customHeight="true" outlineLevel="0" collapsed="false"/>
    <row r="173" customFormat="false" ht="29.25" hidden="false" customHeight="true" outlineLevel="0" collapsed="false"/>
    <row r="174" customFormat="false" ht="43.5" hidden="false" customHeight="true" outlineLevel="0" collapsed="false"/>
    <row r="175" customFormat="false" ht="29.25" hidden="false" customHeight="true" outlineLevel="0" collapsed="false"/>
    <row r="176" customFormat="false" ht="29.25" hidden="false" customHeight="true" outlineLevel="0" collapsed="false"/>
    <row r="177" customFormat="false" ht="29.25" hidden="false" customHeight="true" outlineLevel="0" collapsed="false"/>
    <row r="178" customFormat="false" ht="29.25" hidden="false" customHeight="true" outlineLevel="0" collapsed="false"/>
    <row r="179" customFormat="false" ht="43.5" hidden="false" customHeight="true" outlineLevel="0" collapsed="false"/>
    <row r="180" customFormat="false" ht="43.5" hidden="false" customHeight="true" outlineLevel="0" collapsed="false"/>
    <row r="181" customFormat="false" ht="41.25" hidden="false" customHeight="true" outlineLevel="0" collapsed="false"/>
    <row r="182" customFormat="false" ht="29.25" hidden="false" customHeight="true" outlineLevel="0" collapsed="false"/>
    <row r="183" customFormat="false" ht="29.25" hidden="false" customHeight="true" outlineLevel="0" collapsed="false"/>
    <row r="184" customFormat="false" ht="29.25" hidden="false" customHeight="true" outlineLevel="0" collapsed="false"/>
    <row r="185" customFormat="false" ht="43.5" hidden="false" customHeight="true" outlineLevel="0" collapsed="false"/>
    <row r="186" customFormat="false" ht="29.25" hidden="false" customHeight="true" outlineLevel="0" collapsed="false"/>
    <row r="187" customFormat="false" ht="29.25" hidden="false" customHeight="true" outlineLevel="0" collapsed="false"/>
    <row r="188" customFormat="false" ht="29.25" hidden="false" customHeight="true" outlineLevel="0" collapsed="false"/>
    <row r="189" customFormat="false" ht="29.25" hidden="false" customHeight="true" outlineLevel="0" collapsed="false"/>
    <row r="190" customFormat="false" ht="15" hidden="false" customHeight="true" outlineLevel="0" collapsed="false"/>
    <row r="191" customFormat="false" ht="29.25" hidden="false" customHeight="true" outlineLevel="0" collapsed="false"/>
    <row r="192" customFormat="false" ht="29.25" hidden="false" customHeight="true" outlineLevel="0" collapsed="false"/>
    <row r="193" customFormat="false" ht="29.25" hidden="false" customHeight="true" outlineLevel="0" collapsed="false"/>
    <row r="194" customFormat="false" ht="29.25" hidden="false" customHeight="true" outlineLevel="0" collapsed="false"/>
    <row r="195" customFormat="false" ht="15" hidden="false" customHeight="true" outlineLevel="0" collapsed="false"/>
    <row r="196" customFormat="false" ht="15" hidden="false" customHeight="true" outlineLevel="0" collapsed="false"/>
    <row r="197" customFormat="false" ht="15" hidden="false" customHeight="true" outlineLevel="0" collapsed="false"/>
    <row r="198" customFormat="false" ht="15" hidden="false" customHeight="true" outlineLevel="0" collapsed="false"/>
    <row r="199" customFormat="false" ht="15" hidden="false" customHeight="true" outlineLevel="0" collapsed="false"/>
    <row r="200" customFormat="false" ht="15" hidden="false" customHeight="true" outlineLevel="0" collapsed="false"/>
    <row r="201" customFormat="false" ht="29.25" hidden="false" customHeight="true" outlineLevel="0" collapsed="false"/>
  </sheetData>
  <autoFilter ref="A1:P165"/>
  <dataValidations count="2">
    <dataValidation allowBlank="true" errorStyle="stop" operator="between" showDropDown="false" showErrorMessage="false" showInputMessage="false" sqref="N2:N165" type="list">
      <formula1>"OK,NG,保留,対象外"</formula1>
      <formula2>0</formula2>
    </dataValidation>
    <dataValidation allowBlank="true" error="日付を入力してください" errorStyle="stop" operator="between" showDropDown="false" showErrorMessage="false" showInputMessage="false" sqref="L2:L165" type="date">
      <formula1>DATE(2026,12,1)</formula1>
      <formula2>DATE(2027,12,31)</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4"/>
    <col collapsed="false" customWidth="true" hidden="false" outlineLevel="0" max="3" min="3" style="1" width="70"/>
    <col collapsed="false" customWidth="true" hidden="false" outlineLevel="0" max="4" min="4" style="1" width="12"/>
  </cols>
  <sheetData>
    <row r="1" customFormat="false" ht="15" hidden="false" customHeight="true" outlineLevel="0" collapsed="false">
      <c r="A1" s="24" t="s">
        <v>5</v>
      </c>
      <c r="B1" s="24" t="s">
        <v>903</v>
      </c>
      <c r="C1" s="24" t="s">
        <v>904</v>
      </c>
      <c r="D1" s="24" t="s">
        <v>905</v>
      </c>
    </row>
    <row r="2" customFormat="false" ht="15" hidden="false" customHeight="true" outlineLevel="0" collapsed="false">
      <c r="A2" s="15" t="s">
        <v>906</v>
      </c>
      <c r="B2" s="15" t="s">
        <v>907</v>
      </c>
      <c r="C2" s="13" t="s">
        <v>908</v>
      </c>
      <c r="D2" s="13" t="s">
        <v>10</v>
      </c>
    </row>
    <row r="3" customFormat="false" ht="15" hidden="false" customHeight="true" outlineLevel="0" collapsed="false">
      <c r="A3" s="15" t="s">
        <v>909</v>
      </c>
      <c r="B3" s="15" t="s">
        <v>910</v>
      </c>
      <c r="C3" s="13" t="s">
        <v>911</v>
      </c>
      <c r="D3" s="13" t="s">
        <v>912</v>
      </c>
    </row>
    <row r="4" customFormat="false" ht="15" hidden="false" customHeight="true" outlineLevel="0" collapsed="false">
      <c r="A4" s="15" t="s">
        <v>6</v>
      </c>
      <c r="B4" s="15" t="s">
        <v>910</v>
      </c>
      <c r="C4" s="13" t="s">
        <v>913</v>
      </c>
      <c r="D4" s="13" t="s">
        <v>914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2026-10-15T08:23:19Z</dcterms:created>
  <dc:creator>openpyxl</dc:creator>
  <dc:description/>
  <dc:language>en-US</dc:language>
  <cp:lastModifiedBy/>
  <dcterms:modified xsi:type="dcterms:W3CDTF">2026-10-16T06:11:01Z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